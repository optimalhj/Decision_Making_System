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GalaxyBook3Pro\Documents\Decision_Making_System_GitHub\"/>
    </mc:Choice>
  </mc:AlternateContent>
  <xr:revisionPtr revIDLastSave="0" documentId="13_ncr:1_{6610EEC0-CFA7-493F-ADC7-253262AA29F9}" xr6:coauthVersionLast="47" xr6:coauthVersionMax="47" xr10:uidLastSave="{00000000-0000-0000-0000-000000000000}"/>
  <bookViews>
    <workbookView xWindow="-98" yWindow="-98" windowWidth="21795" windowHeight="13695" xr2:uid="{F982AB9A-D822-46B7-8FEE-42C01CA840CE}"/>
  </bookViews>
  <sheets>
    <sheet name="시각화_ㅅㅂ_겁나_힘들었다......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8" i="2" l="1"/>
  <c r="D72" i="2"/>
  <c r="I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H63" i="2"/>
  <c r="G63" i="2"/>
  <c r="F63" i="2"/>
  <c r="E63" i="2"/>
  <c r="D63" i="2"/>
  <c r="C63" i="2"/>
  <c r="B63" i="2"/>
  <c r="S58" i="2"/>
  <c r="S2" i="2"/>
  <c r="U2" i="2"/>
  <c r="B40" i="2"/>
  <c r="B47" i="2" s="1"/>
  <c r="V80" i="2"/>
  <c r="U80" i="2"/>
  <c r="T80" i="2"/>
  <c r="S80" i="2"/>
  <c r="R80" i="2"/>
  <c r="Q80" i="2"/>
  <c r="P80" i="2"/>
  <c r="O80" i="2"/>
  <c r="N80" i="2"/>
  <c r="M80" i="2"/>
  <c r="L80" i="2"/>
  <c r="L2" i="2" s="1"/>
  <c r="K80" i="2"/>
  <c r="K2" i="2" s="1"/>
  <c r="J80" i="2"/>
  <c r="I80" i="2"/>
  <c r="I2" i="2" s="1"/>
  <c r="H80" i="2"/>
  <c r="G80" i="2"/>
  <c r="F80" i="2"/>
  <c r="E80" i="2"/>
  <c r="D80" i="2"/>
  <c r="C80" i="2"/>
  <c r="V79" i="2"/>
  <c r="V2" i="2" s="1"/>
  <c r="U79" i="2"/>
  <c r="T79" i="2"/>
  <c r="T2" i="2" s="1"/>
  <c r="S79" i="2"/>
  <c r="R79" i="2"/>
  <c r="Q79" i="2"/>
  <c r="Q2" i="2" s="1"/>
  <c r="P79" i="2"/>
  <c r="P2" i="2" s="1"/>
  <c r="O79" i="2"/>
  <c r="N79" i="2"/>
  <c r="N2" i="2" s="1"/>
  <c r="M79" i="2"/>
  <c r="M2" i="2" s="1"/>
  <c r="L79" i="2"/>
  <c r="K79" i="2"/>
  <c r="J79" i="2"/>
  <c r="I79" i="2"/>
  <c r="H79" i="2"/>
  <c r="H2" i="2" s="1"/>
  <c r="G79" i="2"/>
  <c r="G2" i="2" s="1"/>
  <c r="F79" i="2"/>
  <c r="F2" i="2" s="1"/>
  <c r="E79" i="2"/>
  <c r="E2" i="2" s="1"/>
  <c r="D79" i="2"/>
  <c r="D2" i="2" s="1"/>
  <c r="C79" i="2"/>
  <c r="B80" i="2"/>
  <c r="B79" i="2"/>
  <c r="B2" i="2" s="1"/>
  <c r="B41" i="2"/>
  <c r="B48" i="2" s="1"/>
  <c r="V61" i="2"/>
  <c r="U61" i="2"/>
  <c r="T61" i="2"/>
  <c r="T58" i="2" s="1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B61" i="2"/>
  <c r="V26" i="2"/>
  <c r="U26" i="2"/>
  <c r="C64" i="2"/>
  <c r="D64" i="2"/>
  <c r="E64" i="2"/>
  <c r="F64" i="2"/>
  <c r="G64" i="2"/>
  <c r="H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B64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C59" i="2"/>
  <c r="D59" i="2"/>
  <c r="E59" i="2"/>
  <c r="F59" i="2"/>
  <c r="G59" i="2"/>
  <c r="H59" i="2"/>
  <c r="I59" i="2"/>
  <c r="J59" i="2"/>
  <c r="J58" i="2" s="1"/>
  <c r="K59" i="2"/>
  <c r="K58" i="2" s="1"/>
  <c r="L59" i="2"/>
  <c r="M59" i="2"/>
  <c r="N59" i="2"/>
  <c r="O59" i="2"/>
  <c r="O58" i="2" s="1"/>
  <c r="P59" i="2"/>
  <c r="P58" i="2" s="1"/>
  <c r="Q59" i="2"/>
  <c r="Q58" i="2" s="1"/>
  <c r="R59" i="2"/>
  <c r="R58" i="2" s="1"/>
  <c r="S59" i="2"/>
  <c r="T59" i="2"/>
  <c r="U59" i="2"/>
  <c r="V59" i="2"/>
  <c r="C60" i="2"/>
  <c r="C58" i="2" s="1"/>
  <c r="D60" i="2"/>
  <c r="E60" i="2"/>
  <c r="F60" i="2"/>
  <c r="G60" i="2"/>
  <c r="H60" i="2"/>
  <c r="I60" i="2"/>
  <c r="J60" i="2"/>
  <c r="K60" i="2"/>
  <c r="L60" i="2"/>
  <c r="M60" i="2"/>
  <c r="N60" i="2"/>
  <c r="N58" i="2" s="1"/>
  <c r="O60" i="2"/>
  <c r="P60" i="2"/>
  <c r="Q60" i="2"/>
  <c r="R60" i="2"/>
  <c r="S60" i="2"/>
  <c r="T60" i="2"/>
  <c r="U60" i="2"/>
  <c r="V60" i="2"/>
  <c r="B60" i="2"/>
  <c r="B59" i="2"/>
  <c r="B58" i="2" s="1"/>
  <c r="B57" i="2"/>
  <c r="B56" i="2"/>
  <c r="C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C69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C70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C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C73" i="2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V73" i="2"/>
  <c r="C74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B74" i="2"/>
  <c r="B72" i="2"/>
  <c r="B70" i="2"/>
  <c r="B69" i="2"/>
  <c r="B73" i="2"/>
  <c r="B68" i="2"/>
  <c r="R31" i="2"/>
  <c r="V31" i="2"/>
  <c r="U31" i="2"/>
  <c r="T31" i="2"/>
  <c r="S31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B29" i="2" s="1"/>
  <c r="V25" i="2"/>
  <c r="U25" i="2"/>
  <c r="T25" i="2"/>
  <c r="S25" i="2"/>
  <c r="R25" i="2"/>
  <c r="Q25" i="2"/>
  <c r="P25" i="2"/>
  <c r="O25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B23" i="2" s="1"/>
  <c r="B38" i="2" s="1"/>
  <c r="B45" i="2" s="1"/>
  <c r="V19" i="2"/>
  <c r="U19" i="2"/>
  <c r="T19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B17" i="2" s="1"/>
  <c r="B18" i="2" s="1"/>
  <c r="I58" i="2" l="1"/>
  <c r="H58" i="2"/>
  <c r="G58" i="2"/>
  <c r="F58" i="2"/>
  <c r="U58" i="2"/>
  <c r="J2" i="2"/>
  <c r="O2" i="2"/>
  <c r="E58" i="2"/>
  <c r="R2" i="2"/>
  <c r="D58" i="2"/>
  <c r="M58" i="2"/>
  <c r="L58" i="2"/>
  <c r="C2" i="2"/>
  <c r="V58" i="2"/>
  <c r="I64" i="2"/>
  <c r="I62" i="2" s="1"/>
  <c r="B52" i="2"/>
  <c r="C40" i="2"/>
  <c r="D40" i="2" s="1"/>
  <c r="E40" i="2" s="1"/>
  <c r="F40" i="2" s="1"/>
  <c r="G40" i="2" s="1"/>
  <c r="H40" i="2" s="1"/>
  <c r="I40" i="2" s="1"/>
  <c r="J40" i="2" s="1"/>
  <c r="K40" i="2" s="1"/>
  <c r="L40" i="2" s="1"/>
  <c r="M40" i="2" s="1"/>
  <c r="N40" i="2" s="1"/>
  <c r="O40" i="2" s="1"/>
  <c r="P40" i="2" s="1"/>
  <c r="Q40" i="2" s="1"/>
  <c r="R40" i="2" s="1"/>
  <c r="S40" i="2" s="1"/>
  <c r="T40" i="2" s="1"/>
  <c r="U40" i="2" s="1"/>
  <c r="V40" i="2" s="1"/>
  <c r="B51" i="2"/>
  <c r="B30" i="2"/>
  <c r="B39" i="2"/>
  <c r="B46" i="2" s="1"/>
  <c r="C29" i="2"/>
  <c r="D29" i="2" s="1"/>
  <c r="C41" i="2"/>
  <c r="D41" i="2" s="1"/>
  <c r="E41" i="2" s="1"/>
  <c r="F41" i="2" s="1"/>
  <c r="G41" i="2" s="1"/>
  <c r="H41" i="2" s="1"/>
  <c r="I41" i="2" s="1"/>
  <c r="J41" i="2" s="1"/>
  <c r="K41" i="2" s="1"/>
  <c r="L41" i="2" s="1"/>
  <c r="M41" i="2" s="1"/>
  <c r="N41" i="2" s="1"/>
  <c r="O41" i="2" s="1"/>
  <c r="P41" i="2" s="1"/>
  <c r="Q41" i="2" s="1"/>
  <c r="R41" i="2" s="1"/>
  <c r="S41" i="2" s="1"/>
  <c r="T41" i="2" s="1"/>
  <c r="U41" i="2" s="1"/>
  <c r="V41" i="2" s="1"/>
  <c r="C23" i="2"/>
  <c r="D23" i="2" s="1"/>
  <c r="B24" i="2"/>
  <c r="B37" i="2"/>
  <c r="B44" i="2" s="1"/>
  <c r="C17" i="2"/>
  <c r="C18" i="2" s="1"/>
  <c r="D62" i="2"/>
  <c r="T62" i="2"/>
  <c r="P62" i="2"/>
  <c r="F55" i="2"/>
  <c r="O62" i="2"/>
  <c r="N62" i="2"/>
  <c r="P55" i="2"/>
  <c r="V62" i="2"/>
  <c r="F62" i="2"/>
  <c r="U62" i="2"/>
  <c r="V55" i="2"/>
  <c r="O55" i="2"/>
  <c r="G62" i="2"/>
  <c r="H55" i="2"/>
  <c r="G55" i="2"/>
  <c r="T55" i="2"/>
  <c r="B55" i="2"/>
  <c r="O67" i="2"/>
  <c r="E62" i="2"/>
  <c r="E55" i="2"/>
  <c r="U55" i="2"/>
  <c r="D55" i="2"/>
  <c r="S55" i="2"/>
  <c r="C55" i="2"/>
  <c r="R55" i="2"/>
  <c r="Q55" i="2"/>
  <c r="P67" i="2"/>
  <c r="M55" i="2"/>
  <c r="J62" i="2"/>
  <c r="L55" i="2"/>
  <c r="S62" i="2"/>
  <c r="C62" i="2"/>
  <c r="K55" i="2"/>
  <c r="H62" i="2"/>
  <c r="I55" i="2"/>
  <c r="N55" i="2"/>
  <c r="J55" i="2"/>
  <c r="R67" i="2"/>
  <c r="M62" i="2"/>
  <c r="B67" i="2"/>
  <c r="Q67" i="2"/>
  <c r="L62" i="2"/>
  <c r="K62" i="2"/>
  <c r="R62" i="2"/>
  <c r="Q62" i="2"/>
  <c r="B62" i="2"/>
  <c r="O71" i="2"/>
  <c r="K67" i="2"/>
  <c r="N71" i="2"/>
  <c r="L67" i="2"/>
  <c r="M71" i="2"/>
  <c r="N67" i="2"/>
  <c r="L71" i="2"/>
  <c r="K71" i="2"/>
  <c r="P71" i="2"/>
  <c r="R71" i="2"/>
  <c r="Q71" i="2"/>
  <c r="M67" i="2"/>
  <c r="V67" i="2"/>
  <c r="U71" i="2"/>
  <c r="T67" i="2"/>
  <c r="S71" i="2"/>
  <c r="C67" i="2"/>
  <c r="I71" i="2"/>
  <c r="H71" i="2"/>
  <c r="H67" i="2"/>
  <c r="G71" i="2"/>
  <c r="F71" i="2"/>
  <c r="E67" i="2"/>
  <c r="D71" i="2"/>
  <c r="J71" i="2"/>
  <c r="I67" i="2"/>
  <c r="G67" i="2"/>
  <c r="F67" i="2"/>
  <c r="U67" i="2"/>
  <c r="T71" i="2"/>
  <c r="C71" i="2"/>
  <c r="S67" i="2"/>
  <c r="B71" i="2"/>
  <c r="J67" i="2"/>
  <c r="V71" i="2"/>
  <c r="E71" i="2"/>
  <c r="D67" i="2"/>
  <c r="B3" i="2" l="1"/>
  <c r="C30" i="2"/>
  <c r="C51" i="2"/>
  <c r="C24" i="2"/>
  <c r="B1" i="2"/>
  <c r="C38" i="2"/>
  <c r="C45" i="2" s="1"/>
  <c r="C39" i="2"/>
  <c r="C46" i="2" s="1"/>
  <c r="C37" i="2"/>
  <c r="C44" i="2" s="1"/>
  <c r="D17" i="2"/>
  <c r="D18" i="2" s="1"/>
  <c r="C47" i="2"/>
  <c r="D52" i="2"/>
  <c r="C48" i="2"/>
  <c r="C52" i="2"/>
  <c r="E23" i="2"/>
  <c r="D38" i="2"/>
  <c r="D45" i="2" s="1"/>
  <c r="E29" i="2"/>
  <c r="D39" i="2"/>
  <c r="D46" i="2" s="1"/>
  <c r="D30" i="2"/>
  <c r="D24" i="2"/>
  <c r="B26" i="2" s="1"/>
  <c r="C3" i="2" l="1"/>
  <c r="E17" i="2"/>
  <c r="F17" i="2" s="1"/>
  <c r="C1" i="2"/>
  <c r="D37" i="2"/>
  <c r="D44" i="2" s="1"/>
  <c r="D48" i="2"/>
  <c r="E51" i="2"/>
  <c r="E47" i="2"/>
  <c r="D51" i="2"/>
  <c r="D47" i="2"/>
  <c r="F23" i="2"/>
  <c r="E38" i="2"/>
  <c r="E45" i="2" s="1"/>
  <c r="F29" i="2"/>
  <c r="E39" i="2"/>
  <c r="E46" i="2" s="1"/>
  <c r="E30" i="2"/>
  <c r="E24" i="2"/>
  <c r="C26" i="2" s="1"/>
  <c r="E18" i="2" l="1"/>
  <c r="B19" i="2" s="1"/>
  <c r="E37" i="2"/>
  <c r="E44" i="2" s="1"/>
  <c r="D3" i="2"/>
  <c r="D1" i="2"/>
  <c r="F51" i="2"/>
  <c r="F47" i="2"/>
  <c r="E48" i="2"/>
  <c r="E52" i="2"/>
  <c r="G17" i="2"/>
  <c r="F37" i="2"/>
  <c r="F44" i="2" s="1"/>
  <c r="G29" i="2"/>
  <c r="F39" i="2"/>
  <c r="F46" i="2" s="1"/>
  <c r="G23" i="2"/>
  <c r="F38" i="2"/>
  <c r="F45" i="2" s="1"/>
  <c r="F24" i="2"/>
  <c r="D26" i="2" s="1"/>
  <c r="F30" i="2"/>
  <c r="E1" i="2" l="1"/>
  <c r="E3" i="2"/>
  <c r="G51" i="2"/>
  <c r="G47" i="2"/>
  <c r="F48" i="2"/>
  <c r="F52" i="2"/>
  <c r="H23" i="2"/>
  <c r="G38" i="2"/>
  <c r="G45" i="2" s="1"/>
  <c r="H29" i="2"/>
  <c r="I29" i="2" s="1"/>
  <c r="G39" i="2"/>
  <c r="G46" i="2" s="1"/>
  <c r="H17" i="2"/>
  <c r="G37" i="2"/>
  <c r="G44" i="2" s="1"/>
  <c r="G30" i="2"/>
  <c r="B31" i="2" s="1"/>
  <c r="F18" i="2"/>
  <c r="C19" i="2" s="1"/>
  <c r="G24" i="2"/>
  <c r="E26" i="2" s="1"/>
  <c r="F1" i="2" l="1"/>
  <c r="F3" i="2"/>
  <c r="I51" i="2"/>
  <c r="I47" i="2"/>
  <c r="H51" i="2"/>
  <c r="H47" i="2"/>
  <c r="G48" i="2"/>
  <c r="G52" i="2"/>
  <c r="H37" i="2"/>
  <c r="H44" i="2" s="1"/>
  <c r="I17" i="2"/>
  <c r="H39" i="2"/>
  <c r="H46" i="2" s="1"/>
  <c r="I23" i="2"/>
  <c r="H38" i="2"/>
  <c r="H45" i="2" s="1"/>
  <c r="G18" i="2"/>
  <c r="H24" i="2"/>
  <c r="F26" i="2" s="1"/>
  <c r="G1" i="2" l="1"/>
  <c r="G3" i="2"/>
  <c r="H48" i="2"/>
  <c r="H52" i="2"/>
  <c r="J51" i="2"/>
  <c r="J47" i="2"/>
  <c r="J23" i="2"/>
  <c r="I38" i="2"/>
  <c r="I45" i="2" s="1"/>
  <c r="J29" i="2"/>
  <c r="I39" i="2"/>
  <c r="I46" i="2" s="1"/>
  <c r="J17" i="2"/>
  <c r="I37" i="2"/>
  <c r="I44" i="2" s="1"/>
  <c r="D19" i="2"/>
  <c r="H30" i="2"/>
  <c r="C31" i="2" s="1"/>
  <c r="I24" i="2"/>
  <c r="G26" i="2" s="1"/>
  <c r="H1" i="2" l="1"/>
  <c r="H3" i="2"/>
  <c r="K51" i="2"/>
  <c r="K47" i="2"/>
  <c r="I48" i="2"/>
  <c r="I52" i="2"/>
  <c r="K29" i="2"/>
  <c r="J39" i="2"/>
  <c r="J46" i="2" s="1"/>
  <c r="K17" i="2"/>
  <c r="J37" i="2"/>
  <c r="J44" i="2" s="1"/>
  <c r="K23" i="2"/>
  <c r="J38" i="2"/>
  <c r="J45" i="2" s="1"/>
  <c r="J24" i="2"/>
  <c r="H18" i="2"/>
  <c r="E19" i="2" s="1"/>
  <c r="I30" i="2"/>
  <c r="D31" i="2" s="1"/>
  <c r="I1" i="2" l="1"/>
  <c r="I3" i="2"/>
  <c r="L51" i="2"/>
  <c r="L47" i="2"/>
  <c r="J48" i="2"/>
  <c r="J52" i="2"/>
  <c r="B25" i="2"/>
  <c r="H26" i="2"/>
  <c r="L23" i="2"/>
  <c r="K38" i="2"/>
  <c r="K45" i="2" s="1"/>
  <c r="K37" i="2"/>
  <c r="K44" i="2" s="1"/>
  <c r="L17" i="2"/>
  <c r="L29" i="2"/>
  <c r="K39" i="2"/>
  <c r="K46" i="2" s="1"/>
  <c r="J30" i="2"/>
  <c r="E31" i="2" s="1"/>
  <c r="J1" i="2" l="1"/>
  <c r="J3" i="2"/>
  <c r="M51" i="2"/>
  <c r="M47" i="2"/>
  <c r="K48" i="2"/>
  <c r="K52" i="2"/>
  <c r="M29" i="2"/>
  <c r="L39" i="2"/>
  <c r="L46" i="2" s="1"/>
  <c r="L37" i="2"/>
  <c r="L44" i="2" s="1"/>
  <c r="M17" i="2"/>
  <c r="M23" i="2"/>
  <c r="L38" i="2"/>
  <c r="L45" i="2" s="1"/>
  <c r="K30" i="2"/>
  <c r="F31" i="2" s="1"/>
  <c r="K24" i="2"/>
  <c r="I18" i="2"/>
  <c r="F19" i="2" s="1"/>
  <c r="K1" i="2" l="1"/>
  <c r="K3" i="2"/>
  <c r="N51" i="2"/>
  <c r="N47" i="2"/>
  <c r="L48" i="2"/>
  <c r="L52" i="2"/>
  <c r="C25" i="2"/>
  <c r="I26" i="2"/>
  <c r="N23" i="2"/>
  <c r="M38" i="2"/>
  <c r="M45" i="2" s="1"/>
  <c r="M37" i="2"/>
  <c r="M44" i="2" s="1"/>
  <c r="N17" i="2"/>
  <c r="N29" i="2"/>
  <c r="M39" i="2"/>
  <c r="M46" i="2" s="1"/>
  <c r="L24" i="2"/>
  <c r="L1" i="2" l="1"/>
  <c r="L3" i="2"/>
  <c r="O51" i="2"/>
  <c r="O47" i="2"/>
  <c r="M48" i="2"/>
  <c r="M52" i="2"/>
  <c r="M3" i="2" s="1"/>
  <c r="D25" i="2"/>
  <c r="J26" i="2"/>
  <c r="N37" i="2"/>
  <c r="N44" i="2" s="1"/>
  <c r="O17" i="2"/>
  <c r="O29" i="2"/>
  <c r="N39" i="2"/>
  <c r="N46" i="2" s="1"/>
  <c r="O23" i="2"/>
  <c r="N38" i="2"/>
  <c r="N45" i="2" s="1"/>
  <c r="J18" i="2"/>
  <c r="G19" i="2" s="1"/>
  <c r="L30" i="2"/>
  <c r="G31" i="2" s="1"/>
  <c r="M1" i="2" l="1"/>
  <c r="P51" i="2"/>
  <c r="P47" i="2"/>
  <c r="N48" i="2"/>
  <c r="N52" i="2"/>
  <c r="P23" i="2"/>
  <c r="O38" i="2"/>
  <c r="O45" i="2" s="1"/>
  <c r="P29" i="2"/>
  <c r="O39" i="2"/>
  <c r="O46" i="2" s="1"/>
  <c r="O37" i="2"/>
  <c r="O44" i="2" s="1"/>
  <c r="P17" i="2"/>
  <c r="K18" i="2"/>
  <c r="H19" i="2" s="1"/>
  <c r="M24" i="2"/>
  <c r="N1" i="2" l="1"/>
  <c r="N3" i="2"/>
  <c r="Q51" i="2"/>
  <c r="Q47" i="2"/>
  <c r="O48" i="2"/>
  <c r="O52" i="2"/>
  <c r="E25" i="2"/>
  <c r="K26" i="2"/>
  <c r="Q17" i="2"/>
  <c r="P37" i="2"/>
  <c r="P44" i="2" s="1"/>
  <c r="Q29" i="2"/>
  <c r="P39" i="2"/>
  <c r="P46" i="2" s="1"/>
  <c r="Q23" i="2"/>
  <c r="P38" i="2"/>
  <c r="P45" i="2" s="1"/>
  <c r="M30" i="2"/>
  <c r="H31" i="2" s="1"/>
  <c r="O1" i="2" l="1"/>
  <c r="O3" i="2"/>
  <c r="R51" i="2"/>
  <c r="R47" i="2"/>
  <c r="P48" i="2"/>
  <c r="P52" i="2"/>
  <c r="R23" i="2"/>
  <c r="Q38" i="2"/>
  <c r="Q45" i="2" s="1"/>
  <c r="R29" i="2"/>
  <c r="Q39" i="2"/>
  <c r="Q46" i="2" s="1"/>
  <c r="R17" i="2"/>
  <c r="Q37" i="2"/>
  <c r="Q44" i="2" s="1"/>
  <c r="L18" i="2"/>
  <c r="I19" i="2" s="1"/>
  <c r="N24" i="2"/>
  <c r="P1" i="2" l="1"/>
  <c r="P3" i="2"/>
  <c r="S51" i="2"/>
  <c r="S47" i="2"/>
  <c r="Q48" i="2"/>
  <c r="Q52" i="2"/>
  <c r="F25" i="2"/>
  <c r="L26" i="2"/>
  <c r="S17" i="2"/>
  <c r="R37" i="2"/>
  <c r="R44" i="2" s="1"/>
  <c r="S29" i="2"/>
  <c r="R39" i="2"/>
  <c r="R46" i="2" s="1"/>
  <c r="S23" i="2"/>
  <c r="R38" i="2"/>
  <c r="R45" i="2" s="1"/>
  <c r="N30" i="2"/>
  <c r="I31" i="2" s="1"/>
  <c r="Q1" i="2" l="1"/>
  <c r="Q3" i="2"/>
  <c r="T51" i="2"/>
  <c r="T47" i="2"/>
  <c r="R48" i="2"/>
  <c r="R52" i="2"/>
  <c r="T23" i="2"/>
  <c r="S38" i="2"/>
  <c r="S45" i="2" s="1"/>
  <c r="T29" i="2"/>
  <c r="S39" i="2"/>
  <c r="S46" i="2" s="1"/>
  <c r="T17" i="2"/>
  <c r="S37" i="2"/>
  <c r="S44" i="2" s="1"/>
  <c r="O30" i="2"/>
  <c r="J31" i="2" s="1"/>
  <c r="M18" i="2"/>
  <c r="J19" i="2" s="1"/>
  <c r="O24" i="2"/>
  <c r="R1" i="2" l="1"/>
  <c r="R3" i="2"/>
  <c r="U51" i="2"/>
  <c r="U47" i="2"/>
  <c r="S48" i="2"/>
  <c r="S52" i="2"/>
  <c r="G25" i="2"/>
  <c r="M26" i="2"/>
  <c r="V47" i="2"/>
  <c r="T37" i="2"/>
  <c r="T44" i="2" s="1"/>
  <c r="U17" i="2"/>
  <c r="U29" i="2"/>
  <c r="T39" i="2"/>
  <c r="T46" i="2" s="1"/>
  <c r="U23" i="2"/>
  <c r="T38" i="2"/>
  <c r="T45" i="2" s="1"/>
  <c r="N18" i="2"/>
  <c r="K19" i="2" s="1"/>
  <c r="P30" i="2"/>
  <c r="K31" i="2" s="1"/>
  <c r="P24" i="2"/>
  <c r="S1" i="2" l="1"/>
  <c r="S3" i="2"/>
  <c r="T48" i="2"/>
  <c r="T52" i="2"/>
  <c r="H25" i="2"/>
  <c r="N26" i="2"/>
  <c r="V51" i="2"/>
  <c r="V23" i="2"/>
  <c r="V38" i="2" s="1"/>
  <c r="V45" i="2" s="1"/>
  <c r="U38" i="2"/>
  <c r="U45" i="2" s="1"/>
  <c r="V29" i="2"/>
  <c r="V39" i="2" s="1"/>
  <c r="V46" i="2" s="1"/>
  <c r="U39" i="2"/>
  <c r="U46" i="2" s="1"/>
  <c r="V17" i="2"/>
  <c r="V37" i="2" s="1"/>
  <c r="V44" i="2" s="1"/>
  <c r="U37" i="2"/>
  <c r="U44" i="2" s="1"/>
  <c r="O18" i="2"/>
  <c r="L19" i="2" s="1"/>
  <c r="Q30" i="2"/>
  <c r="L31" i="2" s="1"/>
  <c r="Q24" i="2"/>
  <c r="T1" i="2" l="1"/>
  <c r="T3" i="2"/>
  <c r="V48" i="2"/>
  <c r="U48" i="2"/>
  <c r="U52" i="2"/>
  <c r="I25" i="2"/>
  <c r="O26" i="2"/>
  <c r="V52" i="2"/>
  <c r="R30" i="2"/>
  <c r="M31" i="2" s="1"/>
  <c r="V3" i="2" l="1"/>
  <c r="U1" i="2"/>
  <c r="U3" i="2"/>
  <c r="V1" i="2"/>
  <c r="P18" i="2"/>
  <c r="M19" i="2" s="1"/>
  <c r="R24" i="2"/>
  <c r="J25" i="2" l="1"/>
  <c r="P26" i="2"/>
  <c r="S30" i="2"/>
  <c r="N31" i="2" s="1"/>
  <c r="S24" i="2" l="1"/>
  <c r="Q18" i="2"/>
  <c r="N19" i="2" s="1"/>
  <c r="K25" i="2" l="1"/>
  <c r="Q26" i="2"/>
  <c r="T24" i="2"/>
  <c r="T30" i="2"/>
  <c r="O31" i="2" s="1"/>
  <c r="L25" i="2" l="1"/>
  <c r="R26" i="2"/>
  <c r="R18" i="2"/>
  <c r="O19" i="2" s="1"/>
  <c r="U30" i="2" l="1"/>
  <c r="P31" i="2" s="1"/>
  <c r="U24" i="2"/>
  <c r="M25" i="2" l="1"/>
  <c r="S26" i="2"/>
  <c r="V30" i="2"/>
  <c r="Q31" i="2" s="1"/>
  <c r="V24" i="2"/>
  <c r="S18" i="2"/>
  <c r="P19" i="2" s="1"/>
  <c r="N25" i="2" l="1"/>
  <c r="T26" i="2"/>
  <c r="T18" i="2"/>
  <c r="Q19" i="2" s="1"/>
  <c r="U18" i="2" l="1"/>
  <c r="R19" i="2" s="1"/>
  <c r="V18" i="2" l="1"/>
  <c r="S19" i="2" s="1"/>
</calcChain>
</file>

<file path=xl/sharedStrings.xml><?xml version="1.0" encoding="utf-8"?>
<sst xmlns="http://schemas.openxmlformats.org/spreadsheetml/2006/main" count="58" uniqueCount="27">
  <si>
    <t>P1</t>
    <phoneticPr fontId="1" type="noConversion"/>
  </si>
  <si>
    <t>P2</t>
    <phoneticPr fontId="1" type="noConversion"/>
  </si>
  <si>
    <t>M1</t>
    <phoneticPr fontId="1" type="noConversion"/>
  </si>
  <si>
    <t>M2</t>
    <phoneticPr fontId="1" type="noConversion"/>
  </si>
  <si>
    <t>M3</t>
    <phoneticPr fontId="1" type="noConversion"/>
  </si>
  <si>
    <t>Makespan</t>
    <phoneticPr fontId="1" type="noConversion"/>
  </si>
  <si>
    <t>Setup</t>
    <phoneticPr fontId="1" type="noConversion"/>
  </si>
  <si>
    <t>정규</t>
    <phoneticPr fontId="1" type="noConversion"/>
  </si>
  <si>
    <t>초과</t>
    <phoneticPr fontId="1" type="noConversion"/>
  </si>
  <si>
    <t>고정비용(배송비)</t>
    <phoneticPr fontId="1" type="noConversion"/>
  </si>
  <si>
    <t>구매비</t>
    <phoneticPr fontId="1" type="noConversion"/>
  </si>
  <si>
    <t>기회비용</t>
    <phoneticPr fontId="1" type="noConversion"/>
  </si>
  <si>
    <t>생산계획</t>
    <phoneticPr fontId="1" type="noConversion"/>
  </si>
  <si>
    <t>수요예측</t>
    <phoneticPr fontId="1" type="noConversion"/>
  </si>
  <si>
    <t>재고계산</t>
    <phoneticPr fontId="1" type="noConversion"/>
  </si>
  <si>
    <t>비용</t>
    <phoneticPr fontId="1" type="noConversion"/>
  </si>
  <si>
    <t>판매손실(부족)</t>
    <phoneticPr fontId="1" type="noConversion"/>
  </si>
  <si>
    <t>원재료 구매비</t>
    <phoneticPr fontId="1" type="noConversion"/>
  </si>
  <si>
    <t>생산비용</t>
    <phoneticPr fontId="1" type="noConversion"/>
  </si>
  <si>
    <t>일반</t>
    <phoneticPr fontId="1" type="noConversion"/>
  </si>
  <si>
    <t>긴급</t>
    <phoneticPr fontId="1" type="noConversion"/>
  </si>
  <si>
    <t>구매비(보통)</t>
    <phoneticPr fontId="1" type="noConversion"/>
  </si>
  <si>
    <t>구매비(긴급)</t>
    <phoneticPr fontId="1" type="noConversion"/>
  </si>
  <si>
    <t>수익</t>
    <phoneticPr fontId="1" type="noConversion"/>
  </si>
  <si>
    <t>당일 기대수익</t>
    <phoneticPr fontId="1" type="noConversion"/>
  </si>
  <si>
    <t>이익</t>
    <phoneticPr fontId="1" type="noConversion"/>
  </si>
  <si>
    <t>손실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</si>
</sst>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\/mm\/dd\(aaa\)"/>
    <numFmt numFmtId="177" formatCode="&quot;₩&quot;#,##0_);[Red]\(&quot;₩&quot;#,##0\)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6"/>
      <color theme="1"/>
      <name val="맑은 고딕"/>
      <family val="3"/>
      <charset val="129"/>
      <scheme val="minor"/>
    </font>
    <font>
      <sz val="6"/>
      <color theme="1"/>
      <name val="맑은 고딕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0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 style="thin">
        <color theme="0"/>
      </top>
      <bottom/>
      <diagonal/>
    </border>
    <border>
      <left style="medium">
        <color theme="1"/>
      </left>
      <right style="medium">
        <color theme="1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>
      <alignment vertical="center"/>
    </xf>
  </cellStyleXfs>
  <cellXfs count="9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176" fontId="0" fillId="0" borderId="28" xfId="0" applyNumberFormat="1" applyBorder="1" applyAlignment="1">
      <alignment horizontal="center" vertical="center"/>
    </xf>
    <xf numFmtId="176" fontId="0" fillId="0" borderId="29" xfId="0" applyNumberFormat="1" applyBorder="1" applyAlignment="1">
      <alignment horizontal="center" vertical="center"/>
    </xf>
    <xf numFmtId="176" fontId="0" fillId="0" borderId="14" xfId="0" applyNumberForma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>
      <alignment vertical="center"/>
    </xf>
    <xf numFmtId="0" fontId="0" fillId="0" borderId="40" xfId="0" applyBorder="1" applyAlignment="1">
      <alignment horizontal="right" vertical="center"/>
    </xf>
    <xf numFmtId="0" fontId="0" fillId="0" borderId="41" xfId="0" applyBorder="1" applyAlignment="1">
      <alignment horizontal="right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>
      <alignment vertical="center"/>
    </xf>
    <xf numFmtId="0" fontId="0" fillId="0" borderId="42" xfId="0" applyBorder="1" applyAlignment="1">
      <alignment horizontal="right" vertical="center"/>
    </xf>
    <xf numFmtId="0" fontId="0" fillId="0" borderId="43" xfId="0" applyBorder="1" applyAlignment="1">
      <alignment horizontal="right" vertical="center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177" fontId="0" fillId="0" borderId="47" xfId="0" applyNumberFormat="1" applyBorder="1" applyAlignment="1">
      <alignment horizontal="center" vertical="center"/>
    </xf>
    <xf numFmtId="177" fontId="0" fillId="0" borderId="45" xfId="0" applyNumberFormat="1" applyBorder="1" applyAlignment="1">
      <alignment horizontal="center" vertical="center"/>
    </xf>
    <xf numFmtId="177" fontId="0" fillId="0" borderId="44" xfId="0" applyNumberFormat="1" applyBorder="1" applyAlignment="1">
      <alignment horizontal="center" vertical="center"/>
    </xf>
    <xf numFmtId="177" fontId="0" fillId="0" borderId="31" xfId="0" applyNumberFormat="1" applyBorder="1" applyAlignment="1">
      <alignment horizontal="center" vertical="center"/>
    </xf>
    <xf numFmtId="177" fontId="0" fillId="0" borderId="32" xfId="0" applyNumberFormat="1" applyBorder="1" applyAlignment="1">
      <alignment horizontal="center" vertical="center"/>
    </xf>
    <xf numFmtId="177" fontId="0" fillId="0" borderId="33" xfId="0" applyNumberFormat="1" applyBorder="1" applyAlignment="1">
      <alignment horizontal="center" vertical="center"/>
    </xf>
    <xf numFmtId="177" fontId="0" fillId="0" borderId="36" xfId="0" applyNumberFormat="1" applyBorder="1" applyAlignment="1">
      <alignment horizontal="center" vertical="center"/>
    </xf>
    <xf numFmtId="177" fontId="0" fillId="0" borderId="37" xfId="0" applyNumberFormat="1" applyBorder="1" applyAlignment="1">
      <alignment horizontal="center" vertical="center"/>
    </xf>
    <xf numFmtId="177" fontId="0" fillId="0" borderId="38" xfId="0" applyNumberFormat="1" applyBorder="1" applyAlignment="1">
      <alignment horizontal="center" vertical="center"/>
    </xf>
    <xf numFmtId="0" fontId="0" fillId="7" borderId="44" xfId="0" applyFill="1" applyBorder="1" applyAlignment="1">
      <alignment horizontal="center" vertical="center"/>
    </xf>
    <xf numFmtId="0" fontId="0" fillId="6" borderId="46" xfId="0" applyFill="1" applyBorder="1" applyAlignment="1">
      <alignment horizontal="center" vertical="center"/>
    </xf>
    <xf numFmtId="0" fontId="0" fillId="5" borderId="43" xfId="0" applyFill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6" borderId="44" xfId="0" applyFill="1" applyBorder="1" applyAlignment="1">
      <alignment horizontal="center" vertical="center"/>
    </xf>
    <xf numFmtId="0" fontId="0" fillId="6" borderId="45" xfId="0" applyFill="1" applyBorder="1" applyAlignment="1">
      <alignment horizontal="center" vertical="center"/>
    </xf>
    <xf numFmtId="0" fontId="0" fillId="5" borderId="44" xfId="0" applyFill="1" applyBorder="1" applyAlignment="1">
      <alignment horizontal="center" vertical="center"/>
    </xf>
    <xf numFmtId="0" fontId="0" fillId="5" borderId="45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30F7-086C-4D8B-9697-BE0DE44E18BA}">
  <sheetPr codeName="Sheet1"/>
  <dimension ref="A1:V80"/>
  <sheetViews>
    <sheetView tabSelected="1" topLeftCell="A56" zoomScale="70" zoomScaleNormal="70" workbookViewId="0">
      <selection activeCell="A79" sqref="A79"/>
    </sheetView>
  </sheetViews>
  <sheetFormatPr defaultColWidth="15.5625" defaultRowHeight="16.899999999999999" x14ac:dyDescent="0.6"/>
  <cols>
    <col min="1" max="16384" width="15.5625" style="1"/>
  </cols>
  <sheetData>
    <row r="1" spans="1:22" ht="17.25" thickBot="1" x14ac:dyDescent="0.65">
      <c r="A1" s="74" t="s">
        <v>24</v>
      </c>
      <c r="B1" s="67">
        <f>B79+B80-B67-B71-B55-B58-B62-B51-B52-B44-B45-B46-B47-B48</f>
        <v>4802300</v>
      </c>
      <c r="C1" s="65">
        <f t="shared" ref="C1:V1" si="0">C79+C80-C67-C71-C55-C58-C62-C51-C52-C44-C45-C46-C47-C48</f>
        <v>8602050</v>
      </c>
      <c r="D1" s="65">
        <f t="shared" si="0"/>
        <v>-36246200</v>
      </c>
      <c r="E1" s="65">
        <f t="shared" si="0"/>
        <v>52468550</v>
      </c>
      <c r="F1" s="65">
        <f t="shared" si="0"/>
        <v>58077300</v>
      </c>
      <c r="G1" s="65">
        <f t="shared" si="0"/>
        <v>-15212710</v>
      </c>
      <c r="H1" s="66">
        <f t="shared" si="0"/>
        <v>29267080</v>
      </c>
      <c r="I1" s="67">
        <f t="shared" si="0"/>
        <v>-53126470</v>
      </c>
      <c r="J1" s="65">
        <f t="shared" si="0"/>
        <v>-2726470</v>
      </c>
      <c r="K1" s="65">
        <f t="shared" si="0"/>
        <v>-2726470</v>
      </c>
      <c r="L1" s="65">
        <f t="shared" si="0"/>
        <v>-2726470</v>
      </c>
      <c r="M1" s="65">
        <f t="shared" si="0"/>
        <v>-2726470</v>
      </c>
      <c r="N1" s="65">
        <f t="shared" si="0"/>
        <v>-2726470</v>
      </c>
      <c r="O1" s="66">
        <f t="shared" si="0"/>
        <v>-2726470</v>
      </c>
      <c r="P1" s="67">
        <f t="shared" si="0"/>
        <v>-2726470</v>
      </c>
      <c r="Q1" s="65">
        <f t="shared" si="0"/>
        <v>-2726470</v>
      </c>
      <c r="R1" s="65">
        <f t="shared" si="0"/>
        <v>-2726470</v>
      </c>
      <c r="S1" s="65">
        <f t="shared" si="0"/>
        <v>-2726470</v>
      </c>
      <c r="T1" s="65">
        <f t="shared" si="0"/>
        <v>-2726470</v>
      </c>
      <c r="U1" s="65">
        <f t="shared" si="0"/>
        <v>-2726470</v>
      </c>
      <c r="V1" s="66">
        <f t="shared" si="0"/>
        <v>-2726470</v>
      </c>
    </row>
    <row r="2" spans="1:22" x14ac:dyDescent="0.6">
      <c r="A2" s="75" t="s">
        <v>25</v>
      </c>
      <c r="B2" s="68">
        <f>B79+B80</f>
        <v>30097550</v>
      </c>
      <c r="C2" s="69">
        <f>C79+C80</f>
        <v>30097550</v>
      </c>
      <c r="D2" s="69">
        <f t="shared" ref="D2:V2" si="1">D79+D80</f>
        <v>98847550</v>
      </c>
      <c r="E2" s="69">
        <f t="shared" si="1"/>
        <v>98847550</v>
      </c>
      <c r="F2" s="69">
        <f t="shared" si="1"/>
        <v>98847550</v>
      </c>
      <c r="G2" s="69">
        <f t="shared" si="1"/>
        <v>30097550</v>
      </c>
      <c r="H2" s="69">
        <f t="shared" si="1"/>
        <v>30097550</v>
      </c>
      <c r="I2" s="68">
        <f t="shared" si="1"/>
        <v>0</v>
      </c>
      <c r="J2" s="69">
        <f t="shared" si="1"/>
        <v>0</v>
      </c>
      <c r="K2" s="69">
        <f t="shared" si="1"/>
        <v>0</v>
      </c>
      <c r="L2" s="69">
        <f t="shared" si="1"/>
        <v>0</v>
      </c>
      <c r="M2" s="69">
        <f t="shared" si="1"/>
        <v>0</v>
      </c>
      <c r="N2" s="69">
        <f t="shared" si="1"/>
        <v>0</v>
      </c>
      <c r="O2" s="69">
        <f t="shared" si="1"/>
        <v>0</v>
      </c>
      <c r="P2" s="68">
        <f t="shared" si="1"/>
        <v>0</v>
      </c>
      <c r="Q2" s="69">
        <f t="shared" si="1"/>
        <v>0</v>
      </c>
      <c r="R2" s="69">
        <f t="shared" si="1"/>
        <v>0</v>
      </c>
      <c r="S2" s="69">
        <f t="shared" si="1"/>
        <v>0</v>
      </c>
      <c r="T2" s="69">
        <f t="shared" si="1"/>
        <v>0</v>
      </c>
      <c r="U2" s="69">
        <f t="shared" si="1"/>
        <v>0</v>
      </c>
      <c r="V2" s="70">
        <f t="shared" si="1"/>
        <v>0</v>
      </c>
    </row>
    <row r="3" spans="1:22" ht="17.25" thickBot="1" x14ac:dyDescent="0.65">
      <c r="A3" s="76" t="s">
        <v>26</v>
      </c>
      <c r="B3" s="71">
        <f>B71+B67+B62+B58+B55+B52+B51+B48+B47+B46+B45+B44</f>
        <v>25295250</v>
      </c>
      <c r="C3" s="72">
        <f>C71+C67+C62+C58+C55+C52+C51+C48+C47+C46+C45+C44</f>
        <v>21495500</v>
      </c>
      <c r="D3" s="72">
        <f t="shared" ref="D3:U3" si="2">D71+D67+D62+D58+D55+D52+D51+D48+D47+D46+D45+D44</f>
        <v>135093750</v>
      </c>
      <c r="E3" s="72">
        <f t="shared" si="2"/>
        <v>46379000</v>
      </c>
      <c r="F3" s="72">
        <f t="shared" si="2"/>
        <v>40770250</v>
      </c>
      <c r="G3" s="72">
        <f t="shared" si="2"/>
        <v>45310260</v>
      </c>
      <c r="H3" s="72">
        <f t="shared" si="2"/>
        <v>830470</v>
      </c>
      <c r="I3" s="71">
        <f t="shared" si="2"/>
        <v>53126470</v>
      </c>
      <c r="J3" s="72">
        <f t="shared" si="2"/>
        <v>2726470</v>
      </c>
      <c r="K3" s="72">
        <f t="shared" si="2"/>
        <v>2726470</v>
      </c>
      <c r="L3" s="72">
        <f t="shared" si="2"/>
        <v>2726470</v>
      </c>
      <c r="M3" s="72">
        <f t="shared" si="2"/>
        <v>2726470</v>
      </c>
      <c r="N3" s="72">
        <f t="shared" si="2"/>
        <v>2726470</v>
      </c>
      <c r="O3" s="72">
        <f t="shared" si="2"/>
        <v>2726470</v>
      </c>
      <c r="P3" s="71">
        <f t="shared" si="2"/>
        <v>2726470</v>
      </c>
      <c r="Q3" s="72">
        <f t="shared" si="2"/>
        <v>2726470</v>
      </c>
      <c r="R3" s="72">
        <f t="shared" si="2"/>
        <v>2726470</v>
      </c>
      <c r="S3" s="72">
        <f t="shared" si="2"/>
        <v>2726470</v>
      </c>
      <c r="T3" s="72">
        <f t="shared" si="2"/>
        <v>2726470</v>
      </c>
      <c r="U3" s="72">
        <f t="shared" si="2"/>
        <v>2726470</v>
      </c>
      <c r="V3" s="73">
        <f>V71+V67+V62+V58+V55+V52+V51+V48+V47+V46+V45+V44</f>
        <v>2726470</v>
      </c>
    </row>
    <row r="4" spans="1:22" ht="17.25" thickBot="1" x14ac:dyDescent="0.65"/>
    <row r="5" spans="1:22" ht="17.25" thickBot="1" x14ac:dyDescent="0.65">
      <c r="A5" s="14" t="s">
        <v>13</v>
      </c>
      <c r="B5" s="26">
        <v>46299</v>
      </c>
      <c r="C5" s="27">
        <v>46300</v>
      </c>
      <c r="D5" s="27">
        <v>46301</v>
      </c>
      <c r="E5" s="27">
        <v>46302</v>
      </c>
      <c r="F5" s="27">
        <v>46303</v>
      </c>
      <c r="G5" s="27">
        <v>46304</v>
      </c>
      <c r="H5" s="28">
        <v>46305</v>
      </c>
      <c r="I5" s="26">
        <v>46306</v>
      </c>
      <c r="J5" s="27">
        <v>46307</v>
      </c>
      <c r="K5" s="27">
        <v>46308</v>
      </c>
      <c r="L5" s="27">
        <v>46309</v>
      </c>
      <c r="M5" s="27">
        <v>46310</v>
      </c>
      <c r="N5" s="27">
        <v>46311</v>
      </c>
      <c r="O5" s="28">
        <v>46312</v>
      </c>
      <c r="P5" s="26">
        <v>46313</v>
      </c>
      <c r="Q5" s="27">
        <v>46314</v>
      </c>
      <c r="R5" s="27">
        <v>46315</v>
      </c>
      <c r="S5" s="27">
        <v>46316</v>
      </c>
      <c r="T5" s="27">
        <v>46317</v>
      </c>
      <c r="U5" s="27">
        <v>46318</v>
      </c>
      <c r="V5" s="28">
        <v>46319</v>
      </c>
    </row>
    <row r="6" spans="1:22" x14ac:dyDescent="0.6">
      <c r="A6" s="30" t="s">
        <v>0</v>
      </c>
      <c r="B6" s="5"/>
      <c r="C6" s="6"/>
      <c r="D6" s="6">
        <v>275000</v>
      </c>
      <c r="E6" s="6">
        <v>275000</v>
      </c>
      <c r="F6" s="6">
        <v>275000</v>
      </c>
      <c r="G6" s="6"/>
      <c r="H6" s="7"/>
      <c r="I6" s="8"/>
      <c r="J6" s="9"/>
      <c r="K6" s="9"/>
      <c r="L6" s="9"/>
      <c r="M6" s="9"/>
      <c r="N6" s="9"/>
      <c r="O6" s="10"/>
      <c r="P6" s="8"/>
      <c r="Q6" s="9"/>
      <c r="R6" s="9"/>
      <c r="S6" s="9"/>
      <c r="T6" s="9"/>
      <c r="U6" s="9"/>
      <c r="V6" s="10"/>
    </row>
    <row r="7" spans="1:22" ht="17.25" thickBot="1" x14ac:dyDescent="0.65">
      <c r="A7" s="4" t="s">
        <v>1</v>
      </c>
      <c r="B7" s="11">
        <v>85993</v>
      </c>
      <c r="C7" s="12">
        <v>85993</v>
      </c>
      <c r="D7" s="12">
        <v>85993</v>
      </c>
      <c r="E7" s="12">
        <v>85993</v>
      </c>
      <c r="F7" s="12">
        <v>85993</v>
      </c>
      <c r="G7" s="12">
        <v>85993</v>
      </c>
      <c r="H7" s="13">
        <v>85993</v>
      </c>
      <c r="I7" s="11"/>
      <c r="J7" s="12"/>
      <c r="K7" s="12"/>
      <c r="L7" s="12"/>
      <c r="M7" s="12"/>
      <c r="N7" s="12"/>
      <c r="O7" s="13"/>
      <c r="P7" s="11"/>
      <c r="Q7" s="12"/>
      <c r="R7" s="12"/>
      <c r="S7" s="12"/>
      <c r="T7" s="12"/>
      <c r="U7" s="12"/>
      <c r="V7" s="13"/>
    </row>
    <row r="8" spans="1:22" ht="17.25" thickBot="1" x14ac:dyDescent="0.65">
      <c r="A8" s="14" t="s">
        <v>5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</row>
    <row r="9" spans="1:22" x14ac:dyDescent="0.6">
      <c r="A9" s="30" t="s">
        <v>0</v>
      </c>
      <c r="B9" s="32"/>
      <c r="C9" s="6"/>
      <c r="D9" s="6">
        <v>14459</v>
      </c>
      <c r="E9" s="6">
        <v>15323</v>
      </c>
      <c r="F9" s="6">
        <v>14947</v>
      </c>
      <c r="G9" s="6"/>
      <c r="H9" s="7"/>
      <c r="I9" s="8"/>
      <c r="J9" s="9"/>
      <c r="K9" s="9"/>
      <c r="L9" s="9"/>
      <c r="M9" s="9"/>
      <c r="N9" s="9"/>
      <c r="O9" s="10"/>
      <c r="P9" s="8"/>
      <c r="Q9" s="9"/>
      <c r="R9" s="9"/>
      <c r="S9" s="9"/>
      <c r="T9" s="9"/>
      <c r="U9" s="9"/>
      <c r="V9" s="10"/>
    </row>
    <row r="10" spans="1:22" ht="17.25" thickBot="1" x14ac:dyDescent="0.65">
      <c r="A10" s="4" t="s">
        <v>1</v>
      </c>
      <c r="B10" s="25">
        <v>12874</v>
      </c>
      <c r="C10" s="12">
        <v>11260</v>
      </c>
      <c r="D10" s="12">
        <v>10217</v>
      </c>
      <c r="E10" s="12">
        <v>9494</v>
      </c>
      <c r="F10" s="12">
        <v>7561</v>
      </c>
      <c r="G10" s="12">
        <v>13579</v>
      </c>
      <c r="H10" s="13"/>
      <c r="I10" s="11"/>
      <c r="J10" s="12"/>
      <c r="K10" s="12"/>
      <c r="L10" s="12"/>
      <c r="M10" s="12"/>
      <c r="N10" s="12"/>
      <c r="O10" s="13"/>
      <c r="P10" s="11"/>
      <c r="Q10" s="12"/>
      <c r="R10" s="12"/>
      <c r="S10" s="12"/>
      <c r="T10" s="12"/>
      <c r="U10" s="12"/>
      <c r="V10" s="13"/>
    </row>
    <row r="12" spans="1:22" ht="17.25" thickBot="1" x14ac:dyDescent="0.65">
      <c r="A12" s="1" t="s">
        <v>12</v>
      </c>
    </row>
    <row r="13" spans="1:22" ht="17.25" thickBot="1" x14ac:dyDescent="0.65">
      <c r="A13" s="14" t="s">
        <v>0</v>
      </c>
      <c r="B13" s="15"/>
      <c r="C13" s="16"/>
      <c r="D13" s="16">
        <v>254000</v>
      </c>
      <c r="E13" s="16">
        <v>271000</v>
      </c>
      <c r="F13" s="16">
        <v>281000</v>
      </c>
      <c r="G13" s="16"/>
      <c r="H13" s="17"/>
      <c r="I13" s="15"/>
      <c r="J13" s="16"/>
      <c r="K13" s="16"/>
      <c r="L13" s="16"/>
      <c r="M13" s="16"/>
      <c r="N13" s="16"/>
      <c r="O13" s="17"/>
      <c r="P13" s="15"/>
      <c r="Q13" s="16"/>
      <c r="R13" s="16"/>
      <c r="S13" s="16"/>
      <c r="T13" s="16"/>
      <c r="U13" s="16"/>
      <c r="V13" s="17"/>
    </row>
    <row r="14" spans="1:22" ht="17.25" thickBot="1" x14ac:dyDescent="0.65">
      <c r="A14" s="3" t="s">
        <v>1</v>
      </c>
      <c r="B14" s="11">
        <v>83000</v>
      </c>
      <c r="C14" s="12">
        <v>87000</v>
      </c>
      <c r="D14" s="12">
        <v>83000</v>
      </c>
      <c r="E14" s="12">
        <v>90000</v>
      </c>
      <c r="F14" s="12">
        <v>86000</v>
      </c>
      <c r="G14" s="12">
        <v>179000</v>
      </c>
      <c r="H14" s="13"/>
      <c r="I14" s="11"/>
      <c r="J14" s="12"/>
      <c r="K14" s="12"/>
      <c r="L14" s="12"/>
      <c r="M14" s="12"/>
      <c r="N14" s="12"/>
      <c r="O14" s="13"/>
      <c r="P14" s="11"/>
      <c r="Q14" s="12"/>
      <c r="R14" s="12"/>
      <c r="S14" s="12"/>
      <c r="T14" s="12"/>
      <c r="U14" s="12"/>
      <c r="V14" s="13"/>
    </row>
    <row r="15" spans="1:22" x14ac:dyDescent="0.6">
      <c r="A15" s="93" t="s">
        <v>2</v>
      </c>
      <c r="B15" s="23" t="str">
        <f t="shared" ref="B15:G15" si="3">IF(B13&gt;0, B13, "")</f>
        <v/>
      </c>
      <c r="C15" s="22" t="str">
        <f t="shared" si="3"/>
        <v/>
      </c>
      <c r="D15" s="22">
        <f t="shared" si="3"/>
        <v>254000</v>
      </c>
      <c r="E15" s="22">
        <f t="shared" si="3"/>
        <v>271000</v>
      </c>
      <c r="F15" s="22">
        <f t="shared" si="3"/>
        <v>281000</v>
      </c>
      <c r="G15" s="22" t="str">
        <f t="shared" si="3"/>
        <v/>
      </c>
      <c r="H15" s="24" t="str">
        <f t="shared" ref="H15:V15" si="4">IF(H13&gt;0, H13, "")</f>
        <v/>
      </c>
      <c r="I15" s="23" t="str">
        <f t="shared" si="4"/>
        <v/>
      </c>
      <c r="J15" s="22" t="str">
        <f t="shared" si="4"/>
        <v/>
      </c>
      <c r="K15" s="22" t="str">
        <f t="shared" si="4"/>
        <v/>
      </c>
      <c r="L15" s="22" t="str">
        <f t="shared" si="4"/>
        <v/>
      </c>
      <c r="M15" s="22" t="str">
        <f t="shared" si="4"/>
        <v/>
      </c>
      <c r="N15" s="22" t="str">
        <f t="shared" si="4"/>
        <v/>
      </c>
      <c r="O15" s="24" t="str">
        <f t="shared" si="4"/>
        <v/>
      </c>
      <c r="P15" s="23" t="str">
        <f t="shared" si="4"/>
        <v/>
      </c>
      <c r="Q15" s="22" t="str">
        <f t="shared" si="4"/>
        <v/>
      </c>
      <c r="R15" s="22" t="str">
        <f t="shared" si="4"/>
        <v/>
      </c>
      <c r="S15" s="22" t="str">
        <f t="shared" si="4"/>
        <v/>
      </c>
      <c r="T15" s="22" t="str">
        <f t="shared" si="4"/>
        <v/>
      </c>
      <c r="U15" s="22" t="str">
        <f t="shared" si="4"/>
        <v/>
      </c>
      <c r="V15" s="24" t="str">
        <f t="shared" si="4"/>
        <v/>
      </c>
    </row>
    <row r="16" spans="1:22" x14ac:dyDescent="0.6">
      <c r="A16" s="94"/>
      <c r="B16" s="2"/>
      <c r="D16" s="29">
        <v>754000</v>
      </c>
      <c r="H16" s="18"/>
      <c r="I16" s="2"/>
      <c r="O16" s="18"/>
      <c r="P16" s="2"/>
      <c r="V16" s="18"/>
    </row>
    <row r="17" spans="1:22" x14ac:dyDescent="0.6">
      <c r="A17" s="94"/>
      <c r="B17" s="29">
        <f>52000-IF(B15="", 0, B15)+B16</f>
        <v>52000</v>
      </c>
      <c r="C17" s="1">
        <f t="shared" ref="C17:V17" si="5">B17-IF(C15="", 0, C15)+C16</f>
        <v>52000</v>
      </c>
      <c r="D17" s="1">
        <f t="shared" si="5"/>
        <v>552000</v>
      </c>
      <c r="E17" s="1">
        <f t="shared" si="5"/>
        <v>281000</v>
      </c>
      <c r="F17" s="1">
        <f t="shared" si="5"/>
        <v>0</v>
      </c>
      <c r="G17" s="1">
        <f t="shared" si="5"/>
        <v>0</v>
      </c>
      <c r="H17" s="18">
        <f t="shared" si="5"/>
        <v>0</v>
      </c>
      <c r="I17" s="2">
        <f t="shared" si="5"/>
        <v>0</v>
      </c>
      <c r="J17" s="1">
        <f t="shared" si="5"/>
        <v>0</v>
      </c>
      <c r="K17" s="1">
        <f t="shared" si="5"/>
        <v>0</v>
      </c>
      <c r="L17" s="1">
        <f t="shared" si="5"/>
        <v>0</v>
      </c>
      <c r="M17" s="1">
        <f t="shared" si="5"/>
        <v>0</v>
      </c>
      <c r="N17" s="1">
        <f t="shared" si="5"/>
        <v>0</v>
      </c>
      <c r="O17" s="18">
        <f t="shared" si="5"/>
        <v>0</v>
      </c>
      <c r="P17" s="2">
        <f t="shared" si="5"/>
        <v>0</v>
      </c>
      <c r="Q17" s="1">
        <f t="shared" si="5"/>
        <v>0</v>
      </c>
      <c r="R17" s="1">
        <f t="shared" si="5"/>
        <v>0</v>
      </c>
      <c r="S17" s="1">
        <f t="shared" si="5"/>
        <v>0</v>
      </c>
      <c r="T17" s="1">
        <f t="shared" si="5"/>
        <v>0</v>
      </c>
      <c r="U17" s="1">
        <f t="shared" si="5"/>
        <v>0</v>
      </c>
      <c r="V17" s="18">
        <f t="shared" si="5"/>
        <v>0</v>
      </c>
    </row>
    <row r="18" spans="1:22" x14ac:dyDescent="0.6">
      <c r="A18" s="94"/>
      <c r="B18" s="2" t="str">
        <f>IF(B17&lt;0, -B17, "")</f>
        <v/>
      </c>
      <c r="C18" s="1" t="str">
        <f t="shared" ref="C18:V18" si="6">IF(C17&lt;0, -C17, "")</f>
        <v/>
      </c>
      <c r="D18" s="1" t="str">
        <f t="shared" si="6"/>
        <v/>
      </c>
      <c r="E18" s="1" t="str">
        <f t="shared" si="6"/>
        <v/>
      </c>
      <c r="F18" s="1" t="str">
        <f t="shared" si="6"/>
        <v/>
      </c>
      <c r="G18" s="1" t="str">
        <f t="shared" si="6"/>
        <v/>
      </c>
      <c r="H18" s="18" t="str">
        <f t="shared" si="6"/>
        <v/>
      </c>
      <c r="I18" s="2" t="str">
        <f t="shared" si="6"/>
        <v/>
      </c>
      <c r="J18" s="1" t="str">
        <f t="shared" si="6"/>
        <v/>
      </c>
      <c r="K18" s="1" t="str">
        <f t="shared" si="6"/>
        <v/>
      </c>
      <c r="L18" s="1" t="str">
        <f t="shared" si="6"/>
        <v/>
      </c>
      <c r="M18" s="1" t="str">
        <f t="shared" si="6"/>
        <v/>
      </c>
      <c r="N18" s="1" t="str">
        <f t="shared" si="6"/>
        <v/>
      </c>
      <c r="O18" s="18" t="str">
        <f t="shared" si="6"/>
        <v/>
      </c>
      <c r="P18" s="2" t="str">
        <f t="shared" si="6"/>
        <v/>
      </c>
      <c r="Q18" s="1" t="str">
        <f t="shared" si="6"/>
        <v/>
      </c>
      <c r="R18" s="1" t="str">
        <f t="shared" si="6"/>
        <v/>
      </c>
      <c r="S18" s="1" t="str">
        <f t="shared" si="6"/>
        <v/>
      </c>
      <c r="T18" s="1" t="str">
        <f t="shared" si="6"/>
        <v/>
      </c>
      <c r="U18" s="1" t="str">
        <f t="shared" si="6"/>
        <v/>
      </c>
      <c r="V18" s="18" t="str">
        <f t="shared" si="6"/>
        <v/>
      </c>
    </row>
    <row r="19" spans="1:22" ht="17.25" thickBot="1" x14ac:dyDescent="0.65">
      <c r="A19" s="94"/>
      <c r="B19" s="2" t="str">
        <f t="shared" ref="B19:H19" si="7">IF(E18="", "", E18)</f>
        <v/>
      </c>
      <c r="C19" s="1" t="str">
        <f t="shared" si="7"/>
        <v/>
      </c>
      <c r="D19" s="1" t="str">
        <f t="shared" si="7"/>
        <v/>
      </c>
      <c r="E19" s="1" t="str">
        <f t="shared" si="7"/>
        <v/>
      </c>
      <c r="F19" s="1" t="str">
        <f t="shared" si="7"/>
        <v/>
      </c>
      <c r="G19" s="1" t="str">
        <f t="shared" si="7"/>
        <v/>
      </c>
      <c r="H19" s="18" t="str">
        <f t="shared" si="7"/>
        <v/>
      </c>
      <c r="I19" s="2" t="str">
        <f t="shared" ref="I19" si="8">IF(L18="", "", L18)</f>
        <v/>
      </c>
      <c r="J19" s="1" t="str">
        <f t="shared" ref="J19:O19" si="9">IF(M18="", "", M18)</f>
        <v/>
      </c>
      <c r="K19" s="1" t="str">
        <f t="shared" si="9"/>
        <v/>
      </c>
      <c r="L19" s="1" t="str">
        <f t="shared" si="9"/>
        <v/>
      </c>
      <c r="M19" s="1" t="str">
        <f t="shared" si="9"/>
        <v/>
      </c>
      <c r="N19" s="1" t="str">
        <f t="shared" si="9"/>
        <v/>
      </c>
      <c r="O19" s="18" t="str">
        <f t="shared" si="9"/>
        <v/>
      </c>
      <c r="P19" s="2" t="str">
        <f t="shared" ref="P19:S19" si="10">IF(S18="", "", S18)</f>
        <v/>
      </c>
      <c r="Q19" s="1" t="str">
        <f t="shared" si="10"/>
        <v/>
      </c>
      <c r="R19" s="1" t="str">
        <f t="shared" si="10"/>
        <v/>
      </c>
      <c r="S19" s="1" t="str">
        <f t="shared" si="10"/>
        <v/>
      </c>
      <c r="T19" s="1" t="str">
        <f>IF(W17="", "", W17)</f>
        <v/>
      </c>
      <c r="U19" s="1" t="str">
        <f>IF(X17="", "", X17)</f>
        <v/>
      </c>
      <c r="V19" s="18" t="str">
        <f>IF(Y17="", "", Y17)</f>
        <v/>
      </c>
    </row>
    <row r="20" spans="1:22" x14ac:dyDescent="0.6">
      <c r="A20" s="42"/>
      <c r="B20" s="34">
        <f t="shared" ref="B20:G20" si="11">IF(B13=""&amp;B14="","",2*(B13 + B14))</f>
        <v>166000</v>
      </c>
      <c r="C20" s="34">
        <f t="shared" si="11"/>
        <v>174000</v>
      </c>
      <c r="D20" s="34">
        <f t="shared" si="11"/>
        <v>674000</v>
      </c>
      <c r="E20" s="34">
        <f t="shared" si="11"/>
        <v>722000</v>
      </c>
      <c r="F20" s="34">
        <f t="shared" si="11"/>
        <v>734000</v>
      </c>
      <c r="G20" s="34">
        <f t="shared" si="11"/>
        <v>358000</v>
      </c>
      <c r="H20" s="35" t="str">
        <f>IF(H13 + H14 &gt; 0,2*(H13 + H14),"")</f>
        <v/>
      </c>
      <c r="I20" s="33" t="str">
        <f t="shared" ref="I20:V20" si="12">IF(I13 + I14 &gt; 0,2*(I13 + I14),"")</f>
        <v/>
      </c>
      <c r="J20" s="34" t="str">
        <f t="shared" si="12"/>
        <v/>
      </c>
      <c r="K20" s="34" t="str">
        <f t="shared" si="12"/>
        <v/>
      </c>
      <c r="L20" s="34" t="str">
        <f t="shared" si="12"/>
        <v/>
      </c>
      <c r="M20" s="34" t="str">
        <f t="shared" si="12"/>
        <v/>
      </c>
      <c r="N20" s="34" t="str">
        <f t="shared" si="12"/>
        <v/>
      </c>
      <c r="O20" s="35" t="str">
        <f t="shared" si="12"/>
        <v/>
      </c>
      <c r="P20" s="33" t="str">
        <f t="shared" si="12"/>
        <v/>
      </c>
      <c r="Q20" s="34" t="str">
        <f t="shared" si="12"/>
        <v/>
      </c>
      <c r="R20" s="34" t="str">
        <f t="shared" si="12"/>
        <v/>
      </c>
      <c r="S20" s="34" t="str">
        <f t="shared" si="12"/>
        <v/>
      </c>
      <c r="T20" s="34" t="str">
        <f t="shared" si="12"/>
        <v/>
      </c>
      <c r="U20" s="34" t="str">
        <f t="shared" si="12"/>
        <v/>
      </c>
      <c r="V20" s="35" t="str">
        <f t="shared" si="12"/>
        <v/>
      </c>
    </row>
    <row r="21" spans="1:22" x14ac:dyDescent="0.6">
      <c r="A21" s="43" t="s">
        <v>19</v>
      </c>
      <c r="D21" s="29">
        <v>2400000</v>
      </c>
      <c r="H21" s="37"/>
      <c r="I21" s="38">
        <v>1896000</v>
      </c>
      <c r="O21" s="37"/>
      <c r="P21" s="36"/>
      <c r="V21" s="37"/>
    </row>
    <row r="22" spans="1:22" x14ac:dyDescent="0.6">
      <c r="A22" s="44" t="s">
        <v>20</v>
      </c>
      <c r="H22" s="37"/>
      <c r="I22" s="36"/>
      <c r="O22" s="37"/>
      <c r="P22" s="36"/>
      <c r="V22" s="37"/>
    </row>
    <row r="23" spans="1:22" x14ac:dyDescent="0.6">
      <c r="A23" s="45" t="s">
        <v>3</v>
      </c>
      <c r="B23" s="29">
        <f>428000-IF(B20="", 0, B20)+B21</f>
        <v>262000</v>
      </c>
      <c r="C23" s="1">
        <f t="shared" ref="C23:V23" si="13">B23-IF(C20="", 0, C20)+C21</f>
        <v>88000</v>
      </c>
      <c r="D23" s="1">
        <f t="shared" si="13"/>
        <v>1814000</v>
      </c>
      <c r="E23" s="1">
        <f t="shared" si="13"/>
        <v>1092000</v>
      </c>
      <c r="F23" s="1">
        <f t="shared" si="13"/>
        <v>358000</v>
      </c>
      <c r="G23" s="1">
        <f t="shared" si="13"/>
        <v>0</v>
      </c>
      <c r="H23" s="37">
        <f t="shared" si="13"/>
        <v>0</v>
      </c>
      <c r="I23" s="36">
        <f t="shared" si="13"/>
        <v>1896000</v>
      </c>
      <c r="J23" s="1">
        <f t="shared" si="13"/>
        <v>1896000</v>
      </c>
      <c r="K23" s="1">
        <f t="shared" si="13"/>
        <v>1896000</v>
      </c>
      <c r="L23" s="1">
        <f t="shared" si="13"/>
        <v>1896000</v>
      </c>
      <c r="M23" s="1">
        <f t="shared" si="13"/>
        <v>1896000</v>
      </c>
      <c r="N23" s="1">
        <f t="shared" si="13"/>
        <v>1896000</v>
      </c>
      <c r="O23" s="37">
        <f t="shared" si="13"/>
        <v>1896000</v>
      </c>
      <c r="P23" s="36">
        <f t="shared" si="13"/>
        <v>1896000</v>
      </c>
      <c r="Q23" s="1">
        <f t="shared" si="13"/>
        <v>1896000</v>
      </c>
      <c r="R23" s="1">
        <f t="shared" si="13"/>
        <v>1896000</v>
      </c>
      <c r="S23" s="1">
        <f t="shared" si="13"/>
        <v>1896000</v>
      </c>
      <c r="T23" s="1">
        <f t="shared" si="13"/>
        <v>1896000</v>
      </c>
      <c r="U23" s="1">
        <f t="shared" si="13"/>
        <v>1896000</v>
      </c>
      <c r="V23" s="37">
        <f t="shared" si="13"/>
        <v>1896000</v>
      </c>
    </row>
    <row r="24" spans="1:22" x14ac:dyDescent="0.6">
      <c r="A24" s="46"/>
      <c r="B24" s="1" t="str">
        <f t="shared" ref="B24:V24" si="14">IF(B23&lt;0, -B23, "")</f>
        <v/>
      </c>
      <c r="C24" s="1" t="str">
        <f t="shared" si="14"/>
        <v/>
      </c>
      <c r="D24" s="1" t="str">
        <f t="shared" si="14"/>
        <v/>
      </c>
      <c r="E24" s="1" t="str">
        <f t="shared" si="14"/>
        <v/>
      </c>
      <c r="F24" s="1" t="str">
        <f t="shared" si="14"/>
        <v/>
      </c>
      <c r="G24" s="1" t="str">
        <f t="shared" si="14"/>
        <v/>
      </c>
      <c r="H24" s="37" t="str">
        <f t="shared" si="14"/>
        <v/>
      </c>
      <c r="I24" s="36" t="str">
        <f t="shared" si="14"/>
        <v/>
      </c>
      <c r="J24" s="1" t="str">
        <f t="shared" si="14"/>
        <v/>
      </c>
      <c r="K24" s="1" t="str">
        <f t="shared" si="14"/>
        <v/>
      </c>
      <c r="L24" s="1" t="str">
        <f t="shared" si="14"/>
        <v/>
      </c>
      <c r="M24" s="1" t="str">
        <f t="shared" si="14"/>
        <v/>
      </c>
      <c r="N24" s="1" t="str">
        <f t="shared" si="14"/>
        <v/>
      </c>
      <c r="O24" s="37" t="str">
        <f t="shared" si="14"/>
        <v/>
      </c>
      <c r="P24" s="36" t="str">
        <f t="shared" si="14"/>
        <v/>
      </c>
      <c r="Q24" s="1" t="str">
        <f t="shared" si="14"/>
        <v/>
      </c>
      <c r="R24" s="1" t="str">
        <f t="shared" si="14"/>
        <v/>
      </c>
      <c r="S24" s="1" t="str">
        <f t="shared" si="14"/>
        <v/>
      </c>
      <c r="T24" s="1" t="str">
        <f t="shared" si="14"/>
        <v/>
      </c>
      <c r="U24" s="1" t="str">
        <f t="shared" si="14"/>
        <v/>
      </c>
      <c r="V24" s="37" t="str">
        <f t="shared" si="14"/>
        <v/>
      </c>
    </row>
    <row r="25" spans="1:22" x14ac:dyDescent="0.6">
      <c r="A25" s="47" t="s">
        <v>19</v>
      </c>
      <c r="B25" s="1" t="str">
        <f t="shared" ref="B25:N25" si="15">IF(J24="", "", J24)</f>
        <v/>
      </c>
      <c r="C25" s="1" t="str">
        <f t="shared" si="15"/>
        <v/>
      </c>
      <c r="D25" s="1" t="str">
        <f t="shared" si="15"/>
        <v/>
      </c>
      <c r="E25" s="1" t="str">
        <f t="shared" si="15"/>
        <v/>
      </c>
      <c r="F25" s="1" t="str">
        <f t="shared" si="15"/>
        <v/>
      </c>
      <c r="G25" s="1" t="str">
        <f t="shared" si="15"/>
        <v/>
      </c>
      <c r="H25" s="37" t="str">
        <f t="shared" si="15"/>
        <v/>
      </c>
      <c r="I25" s="36" t="str">
        <f t="shared" si="15"/>
        <v/>
      </c>
      <c r="J25" s="1" t="str">
        <f t="shared" si="15"/>
        <v/>
      </c>
      <c r="K25" s="1" t="str">
        <f t="shared" si="15"/>
        <v/>
      </c>
      <c r="L25" s="1" t="str">
        <f t="shared" si="15"/>
        <v/>
      </c>
      <c r="M25" s="1" t="str">
        <f t="shared" si="15"/>
        <v/>
      </c>
      <c r="N25" s="1" t="str">
        <f t="shared" si="15"/>
        <v/>
      </c>
      <c r="O25" s="37" t="str">
        <f t="shared" ref="O25:V25" si="16">IF(W23="", "", W23)</f>
        <v/>
      </c>
      <c r="P25" s="36" t="str">
        <f t="shared" si="16"/>
        <v/>
      </c>
      <c r="Q25" s="1" t="str">
        <f t="shared" si="16"/>
        <v/>
      </c>
      <c r="R25" s="1" t="str">
        <f t="shared" si="16"/>
        <v/>
      </c>
      <c r="S25" s="1" t="str">
        <f t="shared" si="16"/>
        <v/>
      </c>
      <c r="T25" s="1" t="str">
        <f t="shared" si="16"/>
        <v/>
      </c>
      <c r="U25" s="1" t="str">
        <f t="shared" si="16"/>
        <v/>
      </c>
      <c r="V25" s="37" t="str">
        <f t="shared" si="16"/>
        <v/>
      </c>
    </row>
    <row r="26" spans="1:22" ht="17.25" thickBot="1" x14ac:dyDescent="0.65">
      <c r="A26" s="48" t="s">
        <v>20</v>
      </c>
      <c r="B26" s="40" t="str">
        <f t="shared" ref="B26:G26" si="17">IF(D24="", "", D24)</f>
        <v/>
      </c>
      <c r="C26" s="40" t="str">
        <f t="shared" si="17"/>
        <v/>
      </c>
      <c r="D26" s="40" t="str">
        <f t="shared" si="17"/>
        <v/>
      </c>
      <c r="E26" s="40" t="str">
        <f t="shared" si="17"/>
        <v/>
      </c>
      <c r="F26" s="40" t="str">
        <f t="shared" si="17"/>
        <v/>
      </c>
      <c r="G26" s="40" t="str">
        <f t="shared" si="17"/>
        <v/>
      </c>
      <c r="H26" s="41" t="str">
        <f t="shared" ref="H26:V26" si="18">IF(J24="", "", J24)</f>
        <v/>
      </c>
      <c r="I26" s="39" t="str">
        <f t="shared" si="18"/>
        <v/>
      </c>
      <c r="J26" s="40" t="str">
        <f t="shared" si="18"/>
        <v/>
      </c>
      <c r="K26" s="40" t="str">
        <f t="shared" si="18"/>
        <v/>
      </c>
      <c r="L26" s="40" t="str">
        <f t="shared" si="18"/>
        <v/>
      </c>
      <c r="M26" s="40" t="str">
        <f t="shared" si="18"/>
        <v/>
      </c>
      <c r="N26" s="40" t="str">
        <f t="shared" si="18"/>
        <v/>
      </c>
      <c r="O26" s="41" t="str">
        <f t="shared" si="18"/>
        <v/>
      </c>
      <c r="P26" s="39" t="str">
        <f t="shared" si="18"/>
        <v/>
      </c>
      <c r="Q26" s="40" t="str">
        <f t="shared" si="18"/>
        <v/>
      </c>
      <c r="R26" s="40" t="str">
        <f t="shared" si="18"/>
        <v/>
      </c>
      <c r="S26" s="40" t="str">
        <f t="shared" si="18"/>
        <v/>
      </c>
      <c r="T26" s="40" t="str">
        <f t="shared" si="18"/>
        <v/>
      </c>
      <c r="U26" s="40" t="str">
        <f t="shared" si="18"/>
        <v/>
      </c>
      <c r="V26" s="41" t="str">
        <f t="shared" si="18"/>
        <v/>
      </c>
    </row>
    <row r="27" spans="1:22" x14ac:dyDescent="0.6">
      <c r="A27" s="94" t="s">
        <v>4</v>
      </c>
      <c r="B27" s="2">
        <f t="shared" ref="B27:V27" si="19">IF(B14&gt;0, B14, "")</f>
        <v>83000</v>
      </c>
      <c r="C27" s="1">
        <f t="shared" si="19"/>
        <v>87000</v>
      </c>
      <c r="D27" s="1">
        <f t="shared" si="19"/>
        <v>83000</v>
      </c>
      <c r="E27" s="1">
        <f t="shared" si="19"/>
        <v>90000</v>
      </c>
      <c r="F27" s="1">
        <f t="shared" si="19"/>
        <v>86000</v>
      </c>
      <c r="G27" s="1">
        <f t="shared" si="19"/>
        <v>179000</v>
      </c>
      <c r="H27" s="18" t="str">
        <f t="shared" si="19"/>
        <v/>
      </c>
      <c r="I27" s="2" t="str">
        <f t="shared" si="19"/>
        <v/>
      </c>
      <c r="J27" s="1" t="str">
        <f t="shared" si="19"/>
        <v/>
      </c>
      <c r="K27" s="1" t="str">
        <f t="shared" si="19"/>
        <v/>
      </c>
      <c r="L27" s="1" t="str">
        <f t="shared" si="19"/>
        <v/>
      </c>
      <c r="M27" s="1" t="str">
        <f t="shared" si="19"/>
        <v/>
      </c>
      <c r="N27" s="1" t="str">
        <f t="shared" si="19"/>
        <v/>
      </c>
      <c r="O27" s="18" t="str">
        <f t="shared" si="19"/>
        <v/>
      </c>
      <c r="P27" s="2" t="str">
        <f t="shared" si="19"/>
        <v/>
      </c>
      <c r="Q27" s="1" t="str">
        <f t="shared" si="19"/>
        <v/>
      </c>
      <c r="R27" s="1" t="str">
        <f t="shared" si="19"/>
        <v/>
      </c>
      <c r="S27" s="1" t="str">
        <f t="shared" si="19"/>
        <v/>
      </c>
      <c r="T27" s="1" t="str">
        <f t="shared" si="19"/>
        <v/>
      </c>
      <c r="U27" s="1" t="str">
        <f t="shared" si="19"/>
        <v/>
      </c>
      <c r="V27" s="18" t="str">
        <f t="shared" si="19"/>
        <v/>
      </c>
    </row>
    <row r="28" spans="1:22" x14ac:dyDescent="0.6">
      <c r="A28" s="94"/>
      <c r="B28" s="2"/>
      <c r="G28" s="85">
        <v>318000</v>
      </c>
      <c r="H28" s="18"/>
      <c r="I28" s="2"/>
      <c r="O28" s="18"/>
      <c r="P28" s="2"/>
      <c r="V28" s="18"/>
    </row>
    <row r="29" spans="1:22" x14ac:dyDescent="0.6">
      <c r="A29" s="94"/>
      <c r="B29" s="29">
        <f>487000-IF(B27="", 0, B27)+B28</f>
        <v>404000</v>
      </c>
      <c r="C29" s="1">
        <f>B29-IF(C27="", 0, C27)+C28</f>
        <v>317000</v>
      </c>
      <c r="D29" s="1">
        <f t="shared" ref="D29" si="20">C29-IF(D27="", 0, D27)+D28</f>
        <v>234000</v>
      </c>
      <c r="E29" s="1">
        <f t="shared" ref="E29" si="21">D29-IF(E27="", 0, E27)+E28</f>
        <v>144000</v>
      </c>
      <c r="F29" s="1">
        <f t="shared" ref="F29" si="22">E29-IF(F27="", 0, F27)+F28</f>
        <v>58000</v>
      </c>
      <c r="G29" s="1">
        <f>F29-IF(G27="", 0, G27)+G28</f>
        <v>197000</v>
      </c>
      <c r="H29" s="18">
        <f t="shared" ref="H29" si="23">G29-IF(H27="", 0, H27)+H28</f>
        <v>197000</v>
      </c>
      <c r="I29" s="2">
        <f>H29-IF(I27="", 0, I27)+I28</f>
        <v>197000</v>
      </c>
      <c r="J29" s="1">
        <f t="shared" ref="J29" si="24">I29-IF(J27="", 0, J27)+J28</f>
        <v>197000</v>
      </c>
      <c r="K29" s="1">
        <f t="shared" ref="K29" si="25">J29-IF(K27="", 0, K27)+K28</f>
        <v>197000</v>
      </c>
      <c r="L29" s="1">
        <f t="shared" ref="L29" si="26">K29-IF(L27="", 0, L27)+L28</f>
        <v>197000</v>
      </c>
      <c r="M29" s="1">
        <f t="shared" ref="M29" si="27">L29-IF(M27="", 0, M27)+M28</f>
        <v>197000</v>
      </c>
      <c r="N29" s="1">
        <f t="shared" ref="N29" si="28">M29-IF(N27="", 0, N27)+N28</f>
        <v>197000</v>
      </c>
      <c r="O29" s="18">
        <f t="shared" ref="O29" si="29">N29-IF(O27="", 0, O27)+O28</f>
        <v>197000</v>
      </c>
      <c r="P29" s="2">
        <f t="shared" ref="P29" si="30">O29-IF(P27="", 0, P27)+P28</f>
        <v>197000</v>
      </c>
      <c r="Q29" s="1">
        <f t="shared" ref="Q29" si="31">P29-IF(Q27="", 0, Q27)+Q28</f>
        <v>197000</v>
      </c>
      <c r="R29" s="1">
        <f t="shared" ref="R29" si="32">Q29-IF(R27="", 0, R27)+R28</f>
        <v>197000</v>
      </c>
      <c r="S29" s="1">
        <f t="shared" ref="S29" si="33">R29-IF(S27="", 0, S27)+S28</f>
        <v>197000</v>
      </c>
      <c r="T29" s="1">
        <f t="shared" ref="T29" si="34">S29-IF(T27="", 0, T27)+T28</f>
        <v>197000</v>
      </c>
      <c r="U29" s="1">
        <f t="shared" ref="U29" si="35">T29-IF(U27="", 0, U27)+U28</f>
        <v>197000</v>
      </c>
      <c r="V29" s="18">
        <f t="shared" ref="V29" si="36">U29-IF(V27="", 0, V27)+V28</f>
        <v>197000</v>
      </c>
    </row>
    <row r="30" spans="1:22" x14ac:dyDescent="0.6">
      <c r="A30" s="94"/>
      <c r="B30" s="2" t="str">
        <f t="shared" ref="B30:V30" si="37">IF(B29&lt;0, -B29, "")</f>
        <v/>
      </c>
      <c r="C30" s="1" t="str">
        <f t="shared" si="37"/>
        <v/>
      </c>
      <c r="D30" s="1" t="str">
        <f t="shared" si="37"/>
        <v/>
      </c>
      <c r="E30" s="1" t="str">
        <f t="shared" si="37"/>
        <v/>
      </c>
      <c r="F30" s="1" t="str">
        <f t="shared" si="37"/>
        <v/>
      </c>
      <c r="G30" s="1" t="str">
        <f t="shared" si="37"/>
        <v/>
      </c>
      <c r="H30" s="18" t="str">
        <f t="shared" si="37"/>
        <v/>
      </c>
      <c r="I30" s="2" t="str">
        <f t="shared" si="37"/>
        <v/>
      </c>
      <c r="J30" s="1" t="str">
        <f t="shared" si="37"/>
        <v/>
      </c>
      <c r="K30" s="1" t="str">
        <f t="shared" si="37"/>
        <v/>
      </c>
      <c r="L30" s="1" t="str">
        <f t="shared" si="37"/>
        <v/>
      </c>
      <c r="M30" s="1" t="str">
        <f t="shared" si="37"/>
        <v/>
      </c>
      <c r="N30" s="1" t="str">
        <f t="shared" si="37"/>
        <v/>
      </c>
      <c r="O30" s="18" t="str">
        <f t="shared" si="37"/>
        <v/>
      </c>
      <c r="P30" s="2" t="str">
        <f t="shared" si="37"/>
        <v/>
      </c>
      <c r="Q30" s="1" t="str">
        <f t="shared" si="37"/>
        <v/>
      </c>
      <c r="R30" s="1" t="str">
        <f t="shared" si="37"/>
        <v/>
      </c>
      <c r="S30" s="1" t="str">
        <f t="shared" si="37"/>
        <v/>
      </c>
      <c r="T30" s="1" t="str">
        <f t="shared" si="37"/>
        <v/>
      </c>
      <c r="U30" s="1" t="str">
        <f t="shared" si="37"/>
        <v/>
      </c>
      <c r="V30" s="18" t="str">
        <f t="shared" si="37"/>
        <v/>
      </c>
    </row>
    <row r="31" spans="1:22" ht="17.25" thickBot="1" x14ac:dyDescent="0.65">
      <c r="A31" s="95"/>
      <c r="B31" s="20" t="str">
        <f t="shared" ref="B31:H31" si="38">IF(G30="", "", G30)</f>
        <v/>
      </c>
      <c r="C31" s="19" t="str">
        <f t="shared" si="38"/>
        <v/>
      </c>
      <c r="D31" s="19" t="str">
        <f t="shared" si="38"/>
        <v/>
      </c>
      <c r="E31" s="19" t="str">
        <f t="shared" si="38"/>
        <v/>
      </c>
      <c r="F31" s="19" t="str">
        <f t="shared" si="38"/>
        <v/>
      </c>
      <c r="G31" s="19" t="str">
        <f t="shared" si="38"/>
        <v/>
      </c>
      <c r="H31" s="21" t="str">
        <f t="shared" si="38"/>
        <v/>
      </c>
      <c r="I31" s="20" t="str">
        <f t="shared" ref="I31:Q31" si="39">IF(N30="", "", N30)</f>
        <v/>
      </c>
      <c r="J31" s="19" t="str">
        <f t="shared" si="39"/>
        <v/>
      </c>
      <c r="K31" s="19" t="str">
        <f t="shared" si="39"/>
        <v/>
      </c>
      <c r="L31" s="19" t="str">
        <f t="shared" si="39"/>
        <v/>
      </c>
      <c r="M31" s="19" t="str">
        <f t="shared" si="39"/>
        <v/>
      </c>
      <c r="N31" s="19" t="str">
        <f t="shared" si="39"/>
        <v/>
      </c>
      <c r="O31" s="21" t="str">
        <f t="shared" si="39"/>
        <v/>
      </c>
      <c r="P31" s="20" t="str">
        <f t="shared" si="39"/>
        <v/>
      </c>
      <c r="Q31" s="19" t="str">
        <f t="shared" si="39"/>
        <v/>
      </c>
      <c r="R31" s="19" t="str">
        <f>IF(W29="", "", W29)</f>
        <v/>
      </c>
      <c r="S31" s="19" t="str">
        <f>IF(X29="", "", X29)</f>
        <v/>
      </c>
      <c r="T31" s="19" t="str">
        <f>IF(Y29="", "", Y29)</f>
        <v/>
      </c>
      <c r="U31" s="19" t="str">
        <f>IF(Z29="", "", Z29)</f>
        <v/>
      </c>
      <c r="V31" s="21" t="str">
        <f>IF(AA29="", "", AA29)</f>
        <v/>
      </c>
    </row>
    <row r="33" spans="1:22" ht="17.25" thickBot="1" x14ac:dyDescent="0.65"/>
    <row r="34" spans="1:22" ht="17.25" thickBot="1" x14ac:dyDescent="0.65">
      <c r="A34" s="91" t="s">
        <v>15</v>
      </c>
      <c r="B34" s="92"/>
    </row>
    <row r="35" spans="1:22" ht="17.25" thickBot="1" x14ac:dyDescent="0.65"/>
    <row r="36" spans="1:22" ht="17.25" thickBot="1" x14ac:dyDescent="0.65">
      <c r="B36" s="86" t="s">
        <v>14</v>
      </c>
      <c r="C36" s="87"/>
    </row>
    <row r="37" spans="1:22" x14ac:dyDescent="0.6">
      <c r="A37" s="50" t="s">
        <v>2</v>
      </c>
      <c r="B37" s="55">
        <f t="shared" ref="B37:V37" si="40">B17</f>
        <v>52000</v>
      </c>
      <c r="C37" s="34">
        <f t="shared" si="40"/>
        <v>52000</v>
      </c>
      <c r="D37" s="34">
        <f t="shared" si="40"/>
        <v>552000</v>
      </c>
      <c r="E37" s="34">
        <f t="shared" si="40"/>
        <v>281000</v>
      </c>
      <c r="F37" s="34">
        <f t="shared" si="40"/>
        <v>0</v>
      </c>
      <c r="G37" s="34">
        <f t="shared" si="40"/>
        <v>0</v>
      </c>
      <c r="H37" s="35">
        <f t="shared" si="40"/>
        <v>0</v>
      </c>
      <c r="I37" s="33">
        <f t="shared" si="40"/>
        <v>0</v>
      </c>
      <c r="J37" s="34">
        <f t="shared" si="40"/>
        <v>0</v>
      </c>
      <c r="K37" s="34">
        <f t="shared" si="40"/>
        <v>0</v>
      </c>
      <c r="L37" s="34">
        <f t="shared" si="40"/>
        <v>0</v>
      </c>
      <c r="M37" s="34">
        <f t="shared" si="40"/>
        <v>0</v>
      </c>
      <c r="N37" s="34">
        <f t="shared" si="40"/>
        <v>0</v>
      </c>
      <c r="O37" s="35">
        <f t="shared" si="40"/>
        <v>0</v>
      </c>
      <c r="P37" s="33">
        <f t="shared" si="40"/>
        <v>0</v>
      </c>
      <c r="Q37" s="34">
        <f t="shared" si="40"/>
        <v>0</v>
      </c>
      <c r="R37" s="34">
        <f t="shared" si="40"/>
        <v>0</v>
      </c>
      <c r="S37" s="34">
        <f t="shared" si="40"/>
        <v>0</v>
      </c>
      <c r="T37" s="34">
        <f t="shared" si="40"/>
        <v>0</v>
      </c>
      <c r="U37" s="34">
        <f t="shared" si="40"/>
        <v>0</v>
      </c>
      <c r="V37" s="35">
        <f t="shared" si="40"/>
        <v>0</v>
      </c>
    </row>
    <row r="38" spans="1:22" x14ac:dyDescent="0.6">
      <c r="A38" s="51" t="s">
        <v>3</v>
      </c>
      <c r="B38" s="38">
        <f t="shared" ref="B38:V38" si="41">B23</f>
        <v>262000</v>
      </c>
      <c r="C38" s="1">
        <f t="shared" si="41"/>
        <v>88000</v>
      </c>
      <c r="D38" s="1">
        <f t="shared" si="41"/>
        <v>1814000</v>
      </c>
      <c r="E38" s="1">
        <f t="shared" si="41"/>
        <v>1092000</v>
      </c>
      <c r="F38" s="1">
        <f t="shared" si="41"/>
        <v>358000</v>
      </c>
      <c r="G38" s="1">
        <f t="shared" si="41"/>
        <v>0</v>
      </c>
      <c r="H38" s="37">
        <f t="shared" si="41"/>
        <v>0</v>
      </c>
      <c r="I38" s="36">
        <f t="shared" si="41"/>
        <v>1896000</v>
      </c>
      <c r="J38" s="1">
        <f t="shared" si="41"/>
        <v>1896000</v>
      </c>
      <c r="K38" s="1">
        <f t="shared" si="41"/>
        <v>1896000</v>
      </c>
      <c r="L38" s="1">
        <f t="shared" si="41"/>
        <v>1896000</v>
      </c>
      <c r="M38" s="1">
        <f t="shared" si="41"/>
        <v>1896000</v>
      </c>
      <c r="N38" s="1">
        <f t="shared" si="41"/>
        <v>1896000</v>
      </c>
      <c r="O38" s="37">
        <f t="shared" si="41"/>
        <v>1896000</v>
      </c>
      <c r="P38" s="36">
        <f t="shared" si="41"/>
        <v>1896000</v>
      </c>
      <c r="Q38" s="1">
        <f t="shared" si="41"/>
        <v>1896000</v>
      </c>
      <c r="R38" s="1">
        <f t="shared" si="41"/>
        <v>1896000</v>
      </c>
      <c r="S38" s="1">
        <f t="shared" si="41"/>
        <v>1896000</v>
      </c>
      <c r="T38" s="1">
        <f t="shared" si="41"/>
        <v>1896000</v>
      </c>
      <c r="U38" s="1">
        <f t="shared" si="41"/>
        <v>1896000</v>
      </c>
      <c r="V38" s="37">
        <f t="shared" si="41"/>
        <v>1896000</v>
      </c>
    </row>
    <row r="39" spans="1:22" x14ac:dyDescent="0.6">
      <c r="A39" s="51" t="s">
        <v>4</v>
      </c>
      <c r="B39" s="38">
        <f t="shared" ref="B39:V39" si="42">B29</f>
        <v>404000</v>
      </c>
      <c r="C39" s="1">
        <f t="shared" si="42"/>
        <v>317000</v>
      </c>
      <c r="D39" s="1">
        <f t="shared" si="42"/>
        <v>234000</v>
      </c>
      <c r="E39" s="1">
        <f t="shared" si="42"/>
        <v>144000</v>
      </c>
      <c r="F39" s="1">
        <f t="shared" si="42"/>
        <v>58000</v>
      </c>
      <c r="G39" s="1">
        <f t="shared" si="42"/>
        <v>197000</v>
      </c>
      <c r="H39" s="37">
        <f t="shared" si="42"/>
        <v>197000</v>
      </c>
      <c r="I39" s="36">
        <f t="shared" si="42"/>
        <v>197000</v>
      </c>
      <c r="J39" s="1">
        <f t="shared" si="42"/>
        <v>197000</v>
      </c>
      <c r="K39" s="1">
        <f t="shared" si="42"/>
        <v>197000</v>
      </c>
      <c r="L39" s="1">
        <f t="shared" si="42"/>
        <v>197000</v>
      </c>
      <c r="M39" s="1">
        <f t="shared" si="42"/>
        <v>197000</v>
      </c>
      <c r="N39" s="1">
        <f t="shared" si="42"/>
        <v>197000</v>
      </c>
      <c r="O39" s="37">
        <f t="shared" si="42"/>
        <v>197000</v>
      </c>
      <c r="P39" s="36">
        <f t="shared" si="42"/>
        <v>197000</v>
      </c>
      <c r="Q39" s="1">
        <f t="shared" si="42"/>
        <v>197000</v>
      </c>
      <c r="R39" s="1">
        <f t="shared" si="42"/>
        <v>197000</v>
      </c>
      <c r="S39" s="1">
        <f t="shared" si="42"/>
        <v>197000</v>
      </c>
      <c r="T39" s="1">
        <f t="shared" si="42"/>
        <v>197000</v>
      </c>
      <c r="U39" s="1">
        <f t="shared" si="42"/>
        <v>197000</v>
      </c>
      <c r="V39" s="37">
        <f t="shared" si="42"/>
        <v>197000</v>
      </c>
    </row>
    <row r="40" spans="1:22" x14ac:dyDescent="0.6">
      <c r="A40" s="51" t="s">
        <v>0</v>
      </c>
      <c r="B40" s="38">
        <f>27500+B13-B6</f>
        <v>27500</v>
      </c>
      <c r="C40" s="1">
        <f>B40+C13-C6</f>
        <v>27500</v>
      </c>
      <c r="D40" s="1">
        <f t="shared" ref="D40:V40" si="43">C40+D13-D6</f>
        <v>6500</v>
      </c>
      <c r="E40" s="1">
        <f t="shared" si="43"/>
        <v>2500</v>
      </c>
      <c r="F40" s="1">
        <f t="shared" si="43"/>
        <v>8500</v>
      </c>
      <c r="G40" s="1">
        <f t="shared" si="43"/>
        <v>8500</v>
      </c>
      <c r="H40" s="37">
        <f t="shared" si="43"/>
        <v>8500</v>
      </c>
      <c r="I40" s="36">
        <f t="shared" si="43"/>
        <v>8500</v>
      </c>
      <c r="J40" s="1">
        <f t="shared" si="43"/>
        <v>8500</v>
      </c>
      <c r="K40" s="1">
        <f t="shared" si="43"/>
        <v>8500</v>
      </c>
      <c r="L40" s="1">
        <f t="shared" si="43"/>
        <v>8500</v>
      </c>
      <c r="M40" s="1">
        <f t="shared" si="43"/>
        <v>8500</v>
      </c>
      <c r="N40" s="1">
        <f t="shared" si="43"/>
        <v>8500</v>
      </c>
      <c r="O40" s="37">
        <f t="shared" si="43"/>
        <v>8500</v>
      </c>
      <c r="P40" s="36">
        <f t="shared" si="43"/>
        <v>8500</v>
      </c>
      <c r="Q40" s="1">
        <f t="shared" si="43"/>
        <v>8500</v>
      </c>
      <c r="R40" s="1">
        <f t="shared" si="43"/>
        <v>8500</v>
      </c>
      <c r="S40" s="1">
        <f t="shared" si="43"/>
        <v>8500</v>
      </c>
      <c r="T40" s="1">
        <f t="shared" si="43"/>
        <v>8500</v>
      </c>
      <c r="U40" s="1">
        <f t="shared" si="43"/>
        <v>8500</v>
      </c>
      <c r="V40" s="37">
        <f t="shared" si="43"/>
        <v>8500</v>
      </c>
    </row>
    <row r="41" spans="1:22" ht="17.25" thickBot="1" x14ac:dyDescent="0.65">
      <c r="A41" s="52" t="s">
        <v>1</v>
      </c>
      <c r="B41" s="56">
        <f>0+B14-B7</f>
        <v>-2993</v>
      </c>
      <c r="C41" s="40">
        <f>B41+C14-C7</f>
        <v>-1986</v>
      </c>
      <c r="D41" s="40">
        <f t="shared" ref="D41:V41" si="44">C41+D14-D7</f>
        <v>-4979</v>
      </c>
      <c r="E41" s="40">
        <f t="shared" si="44"/>
        <v>-972</v>
      </c>
      <c r="F41" s="40">
        <f t="shared" si="44"/>
        <v>-965</v>
      </c>
      <c r="G41" s="40">
        <f t="shared" si="44"/>
        <v>92042</v>
      </c>
      <c r="H41" s="41">
        <f t="shared" si="44"/>
        <v>6049</v>
      </c>
      <c r="I41" s="39">
        <f t="shared" si="44"/>
        <v>6049</v>
      </c>
      <c r="J41" s="40">
        <f t="shared" si="44"/>
        <v>6049</v>
      </c>
      <c r="K41" s="40">
        <f t="shared" si="44"/>
        <v>6049</v>
      </c>
      <c r="L41" s="40">
        <f t="shared" si="44"/>
        <v>6049</v>
      </c>
      <c r="M41" s="40">
        <f t="shared" si="44"/>
        <v>6049</v>
      </c>
      <c r="N41" s="40">
        <f t="shared" si="44"/>
        <v>6049</v>
      </c>
      <c r="O41" s="41">
        <f t="shared" si="44"/>
        <v>6049</v>
      </c>
      <c r="P41" s="39">
        <f t="shared" si="44"/>
        <v>6049</v>
      </c>
      <c r="Q41" s="40">
        <f t="shared" si="44"/>
        <v>6049</v>
      </c>
      <c r="R41" s="40">
        <f t="shared" si="44"/>
        <v>6049</v>
      </c>
      <c r="S41" s="40">
        <f t="shared" si="44"/>
        <v>6049</v>
      </c>
      <c r="T41" s="40">
        <f t="shared" si="44"/>
        <v>6049</v>
      </c>
      <c r="U41" s="40">
        <f t="shared" si="44"/>
        <v>6049</v>
      </c>
      <c r="V41" s="41">
        <f t="shared" si="44"/>
        <v>6049</v>
      </c>
    </row>
    <row r="42" spans="1:22" ht="17.25" thickBot="1" x14ac:dyDescent="0.65"/>
    <row r="43" spans="1:22" ht="17.25" thickBot="1" x14ac:dyDescent="0.65">
      <c r="B43" s="86" t="s">
        <v>11</v>
      </c>
      <c r="C43" s="87"/>
    </row>
    <row r="44" spans="1:22" x14ac:dyDescent="0.6">
      <c r="A44" s="50" t="s">
        <v>2</v>
      </c>
      <c r="B44" s="33">
        <f t="shared" ref="B44:V44" si="45">IF(B37&gt;0, B37*1, 0)</f>
        <v>52000</v>
      </c>
      <c r="C44" s="34">
        <f t="shared" si="45"/>
        <v>52000</v>
      </c>
      <c r="D44" s="34">
        <f t="shared" si="45"/>
        <v>552000</v>
      </c>
      <c r="E44" s="34">
        <f t="shared" si="45"/>
        <v>281000</v>
      </c>
      <c r="F44" s="34">
        <f t="shared" si="45"/>
        <v>0</v>
      </c>
      <c r="G44" s="34">
        <f t="shared" si="45"/>
        <v>0</v>
      </c>
      <c r="H44" s="35">
        <f t="shared" si="45"/>
        <v>0</v>
      </c>
      <c r="I44" s="33">
        <f t="shared" si="45"/>
        <v>0</v>
      </c>
      <c r="J44" s="34">
        <f t="shared" si="45"/>
        <v>0</v>
      </c>
      <c r="K44" s="34">
        <f t="shared" si="45"/>
        <v>0</v>
      </c>
      <c r="L44" s="34">
        <f t="shared" si="45"/>
        <v>0</v>
      </c>
      <c r="M44" s="34">
        <f t="shared" si="45"/>
        <v>0</v>
      </c>
      <c r="N44" s="34">
        <f t="shared" si="45"/>
        <v>0</v>
      </c>
      <c r="O44" s="35">
        <f t="shared" si="45"/>
        <v>0</v>
      </c>
      <c r="P44" s="33">
        <f t="shared" si="45"/>
        <v>0</v>
      </c>
      <c r="Q44" s="34">
        <f t="shared" si="45"/>
        <v>0</v>
      </c>
      <c r="R44" s="34">
        <f t="shared" si="45"/>
        <v>0</v>
      </c>
      <c r="S44" s="34">
        <f t="shared" si="45"/>
        <v>0</v>
      </c>
      <c r="T44" s="34">
        <f t="shared" si="45"/>
        <v>0</v>
      </c>
      <c r="U44" s="34">
        <f t="shared" si="45"/>
        <v>0</v>
      </c>
      <c r="V44" s="35">
        <f t="shared" si="45"/>
        <v>0</v>
      </c>
    </row>
    <row r="45" spans="1:22" x14ac:dyDescent="0.6">
      <c r="A45" s="51" t="s">
        <v>3</v>
      </c>
      <c r="B45" s="36">
        <f>IF(B38&gt;0, B38*1, 0)</f>
        <v>262000</v>
      </c>
      <c r="C45" s="1">
        <f t="shared" ref="C45:V45" si="46">IF(C38&gt;0, C38*1, 0)</f>
        <v>88000</v>
      </c>
      <c r="D45" s="1">
        <f t="shared" si="46"/>
        <v>1814000</v>
      </c>
      <c r="E45" s="1">
        <f t="shared" si="46"/>
        <v>1092000</v>
      </c>
      <c r="F45" s="1">
        <f t="shared" si="46"/>
        <v>358000</v>
      </c>
      <c r="G45" s="1">
        <f t="shared" si="46"/>
        <v>0</v>
      </c>
      <c r="H45" s="37">
        <f t="shared" si="46"/>
        <v>0</v>
      </c>
      <c r="I45" s="36">
        <f t="shared" si="46"/>
        <v>1896000</v>
      </c>
      <c r="J45" s="1">
        <f t="shared" si="46"/>
        <v>1896000</v>
      </c>
      <c r="K45" s="1">
        <f t="shared" si="46"/>
        <v>1896000</v>
      </c>
      <c r="L45" s="1">
        <f t="shared" si="46"/>
        <v>1896000</v>
      </c>
      <c r="M45" s="1">
        <f t="shared" si="46"/>
        <v>1896000</v>
      </c>
      <c r="N45" s="1">
        <f t="shared" si="46"/>
        <v>1896000</v>
      </c>
      <c r="O45" s="37">
        <f t="shared" si="46"/>
        <v>1896000</v>
      </c>
      <c r="P45" s="36">
        <f t="shared" si="46"/>
        <v>1896000</v>
      </c>
      <c r="Q45" s="1">
        <f t="shared" si="46"/>
        <v>1896000</v>
      </c>
      <c r="R45" s="1">
        <f t="shared" si="46"/>
        <v>1896000</v>
      </c>
      <c r="S45" s="1">
        <f t="shared" si="46"/>
        <v>1896000</v>
      </c>
      <c r="T45" s="1">
        <f t="shared" si="46"/>
        <v>1896000</v>
      </c>
      <c r="U45" s="1">
        <f t="shared" si="46"/>
        <v>1896000</v>
      </c>
      <c r="V45" s="37">
        <f t="shared" si="46"/>
        <v>1896000</v>
      </c>
    </row>
    <row r="46" spans="1:22" x14ac:dyDescent="0.6">
      <c r="A46" s="51" t="s">
        <v>4</v>
      </c>
      <c r="B46" s="36">
        <f>IF(B39&gt;0, B39*2, 0)</f>
        <v>808000</v>
      </c>
      <c r="C46" s="1">
        <f>IF(C39&gt;0, C39*2, 0)</f>
        <v>634000</v>
      </c>
      <c r="D46" s="1">
        <f t="shared" ref="D46:V46" si="47">IF(D39&gt;0, D39*2, 0)</f>
        <v>468000</v>
      </c>
      <c r="E46" s="1">
        <f t="shared" si="47"/>
        <v>288000</v>
      </c>
      <c r="F46" s="1">
        <f t="shared" si="47"/>
        <v>116000</v>
      </c>
      <c r="G46" s="1">
        <f t="shared" si="47"/>
        <v>394000</v>
      </c>
      <c r="H46" s="37">
        <f t="shared" si="47"/>
        <v>394000</v>
      </c>
      <c r="I46" s="36">
        <f t="shared" si="47"/>
        <v>394000</v>
      </c>
      <c r="J46" s="1">
        <f t="shared" si="47"/>
        <v>394000</v>
      </c>
      <c r="K46" s="1">
        <f t="shared" si="47"/>
        <v>394000</v>
      </c>
      <c r="L46" s="1">
        <f t="shared" si="47"/>
        <v>394000</v>
      </c>
      <c r="M46" s="1">
        <f t="shared" si="47"/>
        <v>394000</v>
      </c>
      <c r="N46" s="1">
        <f t="shared" si="47"/>
        <v>394000</v>
      </c>
      <c r="O46" s="37">
        <f t="shared" si="47"/>
        <v>394000</v>
      </c>
      <c r="P46" s="36">
        <f t="shared" si="47"/>
        <v>394000</v>
      </c>
      <c r="Q46" s="1">
        <f t="shared" si="47"/>
        <v>394000</v>
      </c>
      <c r="R46" s="1">
        <f t="shared" si="47"/>
        <v>394000</v>
      </c>
      <c r="S46" s="1">
        <f t="shared" si="47"/>
        <v>394000</v>
      </c>
      <c r="T46" s="1">
        <f t="shared" si="47"/>
        <v>394000</v>
      </c>
      <c r="U46" s="1">
        <f t="shared" si="47"/>
        <v>394000</v>
      </c>
      <c r="V46" s="37">
        <f t="shared" si="47"/>
        <v>394000</v>
      </c>
    </row>
    <row r="47" spans="1:22" x14ac:dyDescent="0.6">
      <c r="A47" s="51" t="s">
        <v>0</v>
      </c>
      <c r="B47" s="36">
        <f t="shared" ref="B47:V47" si="48">IF(B40&gt;0, B40*30, 0)</f>
        <v>825000</v>
      </c>
      <c r="C47" s="1">
        <f t="shared" si="48"/>
        <v>825000</v>
      </c>
      <c r="D47" s="1">
        <f t="shared" si="48"/>
        <v>195000</v>
      </c>
      <c r="E47" s="1">
        <f t="shared" si="48"/>
        <v>75000</v>
      </c>
      <c r="F47" s="1">
        <f t="shared" si="48"/>
        <v>255000</v>
      </c>
      <c r="G47" s="1">
        <f t="shared" si="48"/>
        <v>255000</v>
      </c>
      <c r="H47" s="37">
        <f t="shared" si="48"/>
        <v>255000</v>
      </c>
      <c r="I47" s="36">
        <f t="shared" si="48"/>
        <v>255000</v>
      </c>
      <c r="J47" s="1">
        <f t="shared" si="48"/>
        <v>255000</v>
      </c>
      <c r="K47" s="1">
        <f t="shared" si="48"/>
        <v>255000</v>
      </c>
      <c r="L47" s="1">
        <f t="shared" si="48"/>
        <v>255000</v>
      </c>
      <c r="M47" s="1">
        <f t="shared" si="48"/>
        <v>255000</v>
      </c>
      <c r="N47" s="1">
        <f t="shared" si="48"/>
        <v>255000</v>
      </c>
      <c r="O47" s="37">
        <f t="shared" si="48"/>
        <v>255000</v>
      </c>
      <c r="P47" s="36">
        <f t="shared" si="48"/>
        <v>255000</v>
      </c>
      <c r="Q47" s="1">
        <f t="shared" si="48"/>
        <v>255000</v>
      </c>
      <c r="R47" s="1">
        <f t="shared" si="48"/>
        <v>255000</v>
      </c>
      <c r="S47" s="1">
        <f t="shared" si="48"/>
        <v>255000</v>
      </c>
      <c r="T47" s="1">
        <f t="shared" si="48"/>
        <v>255000</v>
      </c>
      <c r="U47" s="1">
        <f t="shared" si="48"/>
        <v>255000</v>
      </c>
      <c r="V47" s="37">
        <f t="shared" si="48"/>
        <v>255000</v>
      </c>
    </row>
    <row r="48" spans="1:22" ht="17.25" thickBot="1" x14ac:dyDescent="0.65">
      <c r="A48" s="52" t="s">
        <v>1</v>
      </c>
      <c r="B48" s="39">
        <f>IF(B41&gt;0, B41*30, 0)</f>
        <v>0</v>
      </c>
      <c r="C48" s="40">
        <f t="shared" ref="C48:V48" si="49">IF(C41&gt;0, C41*30, 0)</f>
        <v>0</v>
      </c>
      <c r="D48" s="40">
        <f t="shared" si="49"/>
        <v>0</v>
      </c>
      <c r="E48" s="40">
        <f t="shared" si="49"/>
        <v>0</v>
      </c>
      <c r="F48" s="40">
        <f t="shared" si="49"/>
        <v>0</v>
      </c>
      <c r="G48" s="40">
        <f t="shared" si="49"/>
        <v>2761260</v>
      </c>
      <c r="H48" s="41">
        <f t="shared" si="49"/>
        <v>181470</v>
      </c>
      <c r="I48" s="39">
        <f t="shared" si="49"/>
        <v>181470</v>
      </c>
      <c r="J48" s="40">
        <f t="shared" si="49"/>
        <v>181470</v>
      </c>
      <c r="K48" s="40">
        <f t="shared" si="49"/>
        <v>181470</v>
      </c>
      <c r="L48" s="40">
        <f t="shared" si="49"/>
        <v>181470</v>
      </c>
      <c r="M48" s="40">
        <f t="shared" si="49"/>
        <v>181470</v>
      </c>
      <c r="N48" s="40">
        <f t="shared" si="49"/>
        <v>181470</v>
      </c>
      <c r="O48" s="41">
        <f t="shared" si="49"/>
        <v>181470</v>
      </c>
      <c r="P48" s="39">
        <f t="shared" si="49"/>
        <v>181470</v>
      </c>
      <c r="Q48" s="40">
        <f t="shared" si="49"/>
        <v>181470</v>
      </c>
      <c r="R48" s="40">
        <f t="shared" si="49"/>
        <v>181470</v>
      </c>
      <c r="S48" s="40">
        <f t="shared" si="49"/>
        <v>181470</v>
      </c>
      <c r="T48" s="40">
        <f t="shared" si="49"/>
        <v>181470</v>
      </c>
      <c r="U48" s="40">
        <f t="shared" si="49"/>
        <v>181470</v>
      </c>
      <c r="V48" s="41">
        <f t="shared" si="49"/>
        <v>181470</v>
      </c>
    </row>
    <row r="49" spans="1:22" ht="17.25" thickBot="1" x14ac:dyDescent="0.65"/>
    <row r="50" spans="1:22" ht="17.25" thickBot="1" x14ac:dyDescent="0.65">
      <c r="B50" s="86" t="s">
        <v>16</v>
      </c>
      <c r="C50" s="87"/>
    </row>
    <row r="51" spans="1:22" x14ac:dyDescent="0.6">
      <c r="A51" s="50" t="s">
        <v>0</v>
      </c>
      <c r="B51" s="33">
        <f>IF(B40&lt;0, -B40*250, 0)</f>
        <v>0</v>
      </c>
      <c r="C51" s="34">
        <f t="shared" ref="C51:V51" si="50">IF(C40&lt;0, -C40*250, 0)</f>
        <v>0</v>
      </c>
      <c r="D51" s="34">
        <f t="shared" si="50"/>
        <v>0</v>
      </c>
      <c r="E51" s="34">
        <f t="shared" si="50"/>
        <v>0</v>
      </c>
      <c r="F51" s="34">
        <f t="shared" si="50"/>
        <v>0</v>
      </c>
      <c r="G51" s="34">
        <f t="shared" si="50"/>
        <v>0</v>
      </c>
      <c r="H51" s="35">
        <f t="shared" si="50"/>
        <v>0</v>
      </c>
      <c r="I51" s="33">
        <f t="shared" si="50"/>
        <v>0</v>
      </c>
      <c r="J51" s="34">
        <f t="shared" si="50"/>
        <v>0</v>
      </c>
      <c r="K51" s="34">
        <f t="shared" si="50"/>
        <v>0</v>
      </c>
      <c r="L51" s="34">
        <f t="shared" si="50"/>
        <v>0</v>
      </c>
      <c r="M51" s="34">
        <f t="shared" si="50"/>
        <v>0</v>
      </c>
      <c r="N51" s="34">
        <f t="shared" si="50"/>
        <v>0</v>
      </c>
      <c r="O51" s="35">
        <f t="shared" si="50"/>
        <v>0</v>
      </c>
      <c r="P51" s="33">
        <f t="shared" si="50"/>
        <v>0</v>
      </c>
      <c r="Q51" s="34">
        <f t="shared" si="50"/>
        <v>0</v>
      </c>
      <c r="R51" s="34">
        <f t="shared" si="50"/>
        <v>0</v>
      </c>
      <c r="S51" s="34">
        <f t="shared" si="50"/>
        <v>0</v>
      </c>
      <c r="T51" s="34">
        <f t="shared" si="50"/>
        <v>0</v>
      </c>
      <c r="U51" s="34">
        <f t="shared" si="50"/>
        <v>0</v>
      </c>
      <c r="V51" s="35">
        <f t="shared" si="50"/>
        <v>0</v>
      </c>
    </row>
    <row r="52" spans="1:22" ht="17.25" thickBot="1" x14ac:dyDescent="0.65">
      <c r="A52" s="52" t="s">
        <v>1</v>
      </c>
      <c r="B52" s="39">
        <f t="shared" ref="B52:V52" si="51">IF(B41&lt;0, -B41*250, 0)</f>
        <v>748250</v>
      </c>
      <c r="C52" s="40">
        <f t="shared" si="51"/>
        <v>496500</v>
      </c>
      <c r="D52" s="40">
        <f t="shared" si="51"/>
        <v>1244750</v>
      </c>
      <c r="E52" s="40">
        <f t="shared" si="51"/>
        <v>243000</v>
      </c>
      <c r="F52" s="40">
        <f t="shared" si="51"/>
        <v>241250</v>
      </c>
      <c r="G52" s="40">
        <f t="shared" si="51"/>
        <v>0</v>
      </c>
      <c r="H52" s="41">
        <f t="shared" si="51"/>
        <v>0</v>
      </c>
      <c r="I52" s="39">
        <f t="shared" si="51"/>
        <v>0</v>
      </c>
      <c r="J52" s="40">
        <f t="shared" si="51"/>
        <v>0</v>
      </c>
      <c r="K52" s="40">
        <f t="shared" si="51"/>
        <v>0</v>
      </c>
      <c r="L52" s="40">
        <f t="shared" si="51"/>
        <v>0</v>
      </c>
      <c r="M52" s="40">
        <f t="shared" si="51"/>
        <v>0</v>
      </c>
      <c r="N52" s="40">
        <f t="shared" si="51"/>
        <v>0</v>
      </c>
      <c r="O52" s="41">
        <f t="shared" si="51"/>
        <v>0</v>
      </c>
      <c r="P52" s="39">
        <f t="shared" si="51"/>
        <v>0</v>
      </c>
      <c r="Q52" s="40">
        <f t="shared" si="51"/>
        <v>0</v>
      </c>
      <c r="R52" s="40">
        <f t="shared" si="51"/>
        <v>0</v>
      </c>
      <c r="S52" s="40">
        <f t="shared" si="51"/>
        <v>0</v>
      </c>
      <c r="T52" s="40">
        <f t="shared" si="51"/>
        <v>0</v>
      </c>
      <c r="U52" s="40">
        <f t="shared" si="51"/>
        <v>0</v>
      </c>
      <c r="V52" s="41">
        <f t="shared" si="51"/>
        <v>0</v>
      </c>
    </row>
    <row r="53" spans="1:22" ht="17.25" thickBot="1" x14ac:dyDescent="0.65"/>
    <row r="54" spans="1:22" ht="17.25" thickBot="1" x14ac:dyDescent="0.65">
      <c r="B54" s="86" t="s">
        <v>17</v>
      </c>
      <c r="C54" s="87"/>
    </row>
    <row r="55" spans="1:22" ht="17.25" thickBot="1" x14ac:dyDescent="0.65">
      <c r="A55" s="50" t="s">
        <v>2</v>
      </c>
      <c r="B55" s="49">
        <f>B56+B57</f>
        <v>0</v>
      </c>
      <c r="C55" s="63">
        <f t="shared" ref="C55:V55" si="52">C56+C57</f>
        <v>0</v>
      </c>
      <c r="D55" s="63">
        <f t="shared" si="52"/>
        <v>23620000</v>
      </c>
      <c r="E55" s="63">
        <f t="shared" si="52"/>
        <v>0</v>
      </c>
      <c r="F55" s="63">
        <f t="shared" si="52"/>
        <v>0</v>
      </c>
      <c r="G55" s="63">
        <f t="shared" si="52"/>
        <v>0</v>
      </c>
      <c r="H55" s="64">
        <f t="shared" si="52"/>
        <v>0</v>
      </c>
      <c r="I55" s="49">
        <f t="shared" si="52"/>
        <v>0</v>
      </c>
      <c r="J55" s="63">
        <f t="shared" si="52"/>
        <v>0</v>
      </c>
      <c r="K55" s="63">
        <f t="shared" si="52"/>
        <v>0</v>
      </c>
      <c r="L55" s="63">
        <f t="shared" si="52"/>
        <v>0</v>
      </c>
      <c r="M55" s="63">
        <f t="shared" si="52"/>
        <v>0</v>
      </c>
      <c r="N55" s="63">
        <f t="shared" si="52"/>
        <v>0</v>
      </c>
      <c r="O55" s="64">
        <f t="shared" si="52"/>
        <v>0</v>
      </c>
      <c r="P55" s="49">
        <f t="shared" si="52"/>
        <v>0</v>
      </c>
      <c r="Q55" s="63">
        <f t="shared" si="52"/>
        <v>0</v>
      </c>
      <c r="R55" s="63">
        <f t="shared" si="52"/>
        <v>0</v>
      </c>
      <c r="S55" s="63">
        <f t="shared" si="52"/>
        <v>0</v>
      </c>
      <c r="T55" s="63">
        <f t="shared" si="52"/>
        <v>0</v>
      </c>
      <c r="U55" s="63">
        <f t="shared" si="52"/>
        <v>0</v>
      </c>
      <c r="V55" s="64">
        <f t="shared" si="52"/>
        <v>0</v>
      </c>
    </row>
    <row r="56" spans="1:22" x14ac:dyDescent="0.6">
      <c r="A56" s="53" t="s">
        <v>9</v>
      </c>
      <c r="B56" s="57">
        <f t="shared" ref="B56:V56" si="53">IF(B16&gt;0, 1000000, 0)</f>
        <v>0</v>
      </c>
      <c r="C56" s="58">
        <f t="shared" si="53"/>
        <v>0</v>
      </c>
      <c r="D56" s="58">
        <f t="shared" si="53"/>
        <v>1000000</v>
      </c>
      <c r="E56" s="58">
        <f t="shared" si="53"/>
        <v>0</v>
      </c>
      <c r="F56" s="58">
        <f t="shared" si="53"/>
        <v>0</v>
      </c>
      <c r="G56" s="58">
        <f t="shared" si="53"/>
        <v>0</v>
      </c>
      <c r="H56" s="59">
        <f t="shared" si="53"/>
        <v>0</v>
      </c>
      <c r="I56" s="57">
        <f t="shared" si="53"/>
        <v>0</v>
      </c>
      <c r="J56" s="58">
        <f t="shared" si="53"/>
        <v>0</v>
      </c>
      <c r="K56" s="58">
        <f t="shared" si="53"/>
        <v>0</v>
      </c>
      <c r="L56" s="58">
        <f t="shared" si="53"/>
        <v>0</v>
      </c>
      <c r="M56" s="58">
        <f t="shared" si="53"/>
        <v>0</v>
      </c>
      <c r="N56" s="58">
        <f t="shared" si="53"/>
        <v>0</v>
      </c>
      <c r="O56" s="59">
        <f t="shared" si="53"/>
        <v>0</v>
      </c>
      <c r="P56" s="57">
        <f t="shared" si="53"/>
        <v>0</v>
      </c>
      <c r="Q56" s="58">
        <f t="shared" si="53"/>
        <v>0</v>
      </c>
      <c r="R56" s="58">
        <f t="shared" si="53"/>
        <v>0</v>
      </c>
      <c r="S56" s="58">
        <f t="shared" si="53"/>
        <v>0</v>
      </c>
      <c r="T56" s="58">
        <f t="shared" si="53"/>
        <v>0</v>
      </c>
      <c r="U56" s="58">
        <f t="shared" si="53"/>
        <v>0</v>
      </c>
      <c r="V56" s="59">
        <f t="shared" si="53"/>
        <v>0</v>
      </c>
    </row>
    <row r="57" spans="1:22" ht="17.25" thickBot="1" x14ac:dyDescent="0.65">
      <c r="A57" s="54" t="s">
        <v>10</v>
      </c>
      <c r="B57" s="60">
        <f t="shared" ref="B57:V57" si="54">B16*30</f>
        <v>0</v>
      </c>
      <c r="C57" s="61">
        <f t="shared" si="54"/>
        <v>0</v>
      </c>
      <c r="D57" s="61">
        <f t="shared" si="54"/>
        <v>22620000</v>
      </c>
      <c r="E57" s="61">
        <f t="shared" si="54"/>
        <v>0</v>
      </c>
      <c r="F57" s="61">
        <f t="shared" si="54"/>
        <v>0</v>
      </c>
      <c r="G57" s="61">
        <f t="shared" si="54"/>
        <v>0</v>
      </c>
      <c r="H57" s="62">
        <f t="shared" si="54"/>
        <v>0</v>
      </c>
      <c r="I57" s="60">
        <f t="shared" si="54"/>
        <v>0</v>
      </c>
      <c r="J57" s="61">
        <f t="shared" si="54"/>
        <v>0</v>
      </c>
      <c r="K57" s="61">
        <f t="shared" si="54"/>
        <v>0</v>
      </c>
      <c r="L57" s="61">
        <f t="shared" si="54"/>
        <v>0</v>
      </c>
      <c r="M57" s="61">
        <f t="shared" si="54"/>
        <v>0</v>
      </c>
      <c r="N57" s="61">
        <f t="shared" si="54"/>
        <v>0</v>
      </c>
      <c r="O57" s="62">
        <f t="shared" si="54"/>
        <v>0</v>
      </c>
      <c r="P57" s="60">
        <f t="shared" si="54"/>
        <v>0</v>
      </c>
      <c r="Q57" s="61">
        <f t="shared" si="54"/>
        <v>0</v>
      </c>
      <c r="R57" s="61">
        <f t="shared" si="54"/>
        <v>0</v>
      </c>
      <c r="S57" s="61">
        <f t="shared" si="54"/>
        <v>0</v>
      </c>
      <c r="T57" s="61">
        <f t="shared" si="54"/>
        <v>0</v>
      </c>
      <c r="U57" s="61">
        <f t="shared" si="54"/>
        <v>0</v>
      </c>
      <c r="V57" s="62">
        <f t="shared" si="54"/>
        <v>0</v>
      </c>
    </row>
    <row r="58" spans="1:22" ht="17.25" thickBot="1" x14ac:dyDescent="0.65">
      <c r="A58" s="50" t="s">
        <v>3</v>
      </c>
      <c r="B58" s="49">
        <f>B59+B60+B61</f>
        <v>0</v>
      </c>
      <c r="C58" s="63">
        <f>C59+C60+C61</f>
        <v>0</v>
      </c>
      <c r="D58" s="63">
        <f t="shared" ref="D58:J58" si="55">D59+D60+D61</f>
        <v>63000000</v>
      </c>
      <c r="E58" s="63">
        <f t="shared" si="55"/>
        <v>0</v>
      </c>
      <c r="F58" s="63">
        <f t="shared" si="55"/>
        <v>0</v>
      </c>
      <c r="G58" s="63">
        <f t="shared" si="55"/>
        <v>0</v>
      </c>
      <c r="H58" s="63">
        <f t="shared" si="55"/>
        <v>0</v>
      </c>
      <c r="I58" s="49">
        <f t="shared" si="55"/>
        <v>50400000</v>
      </c>
      <c r="J58" s="63">
        <f t="shared" si="55"/>
        <v>0</v>
      </c>
      <c r="K58" s="63">
        <f t="shared" ref="K58" si="56">K59+K60+K61</f>
        <v>0</v>
      </c>
      <c r="L58" s="63">
        <f t="shared" ref="L58" si="57">L59+L60+L61</f>
        <v>0</v>
      </c>
      <c r="M58" s="63">
        <f t="shared" ref="M58" si="58">M59+M60+M61</f>
        <v>0</v>
      </c>
      <c r="N58" s="63">
        <f t="shared" ref="N58" si="59">N59+N60+N61</f>
        <v>0</v>
      </c>
      <c r="O58" s="63">
        <f t="shared" ref="O58:Q58" si="60">O59+O60+O61</f>
        <v>0</v>
      </c>
      <c r="P58" s="49">
        <f t="shared" si="60"/>
        <v>0</v>
      </c>
      <c r="Q58" s="63">
        <f t="shared" si="60"/>
        <v>0</v>
      </c>
      <c r="R58" s="63">
        <f t="shared" ref="R58" si="61">R59+R60+R61</f>
        <v>0</v>
      </c>
      <c r="S58" s="63">
        <f t="shared" ref="S58" si="62">S59+S60+S61</f>
        <v>0</v>
      </c>
      <c r="T58" s="63">
        <f t="shared" ref="T58" si="63">T59+T60+T61</f>
        <v>0</v>
      </c>
      <c r="U58" s="63">
        <f t="shared" ref="U58" si="64">U59+U60+U61</f>
        <v>0</v>
      </c>
      <c r="V58" s="64">
        <f t="shared" ref="V58" si="65">V59+V60+V61</f>
        <v>0</v>
      </c>
    </row>
    <row r="59" spans="1:22" x14ac:dyDescent="0.6">
      <c r="A59" s="53" t="s">
        <v>9</v>
      </c>
      <c r="B59" s="57">
        <f t="shared" ref="B59:V59" si="66">IF(B21&gt;0, 3000000, 0)</f>
        <v>0</v>
      </c>
      <c r="C59" s="58">
        <f t="shared" si="66"/>
        <v>0</v>
      </c>
      <c r="D59" s="58">
        <f t="shared" si="66"/>
        <v>3000000</v>
      </c>
      <c r="E59" s="58">
        <f t="shared" si="66"/>
        <v>0</v>
      </c>
      <c r="F59" s="58">
        <f t="shared" si="66"/>
        <v>0</v>
      </c>
      <c r="G59" s="58">
        <f t="shared" si="66"/>
        <v>0</v>
      </c>
      <c r="H59" s="59">
        <f t="shared" si="66"/>
        <v>0</v>
      </c>
      <c r="I59" s="57">
        <f t="shared" si="66"/>
        <v>3000000</v>
      </c>
      <c r="J59" s="58">
        <f t="shared" si="66"/>
        <v>0</v>
      </c>
      <c r="K59" s="58">
        <f t="shared" si="66"/>
        <v>0</v>
      </c>
      <c r="L59" s="58">
        <f t="shared" si="66"/>
        <v>0</v>
      </c>
      <c r="M59" s="58">
        <f t="shared" si="66"/>
        <v>0</v>
      </c>
      <c r="N59" s="58">
        <f t="shared" si="66"/>
        <v>0</v>
      </c>
      <c r="O59" s="59">
        <f t="shared" si="66"/>
        <v>0</v>
      </c>
      <c r="P59" s="57">
        <f t="shared" si="66"/>
        <v>0</v>
      </c>
      <c r="Q59" s="58">
        <f t="shared" si="66"/>
        <v>0</v>
      </c>
      <c r="R59" s="58">
        <f t="shared" si="66"/>
        <v>0</v>
      </c>
      <c r="S59" s="58">
        <f t="shared" si="66"/>
        <v>0</v>
      </c>
      <c r="T59" s="58">
        <f t="shared" si="66"/>
        <v>0</v>
      </c>
      <c r="U59" s="58">
        <f t="shared" si="66"/>
        <v>0</v>
      </c>
      <c r="V59" s="59">
        <f t="shared" si="66"/>
        <v>0</v>
      </c>
    </row>
    <row r="60" spans="1:22" x14ac:dyDescent="0.6">
      <c r="A60" s="53" t="s">
        <v>21</v>
      </c>
      <c r="B60" s="57">
        <f t="shared" ref="B60:V60" si="67">B21*25</f>
        <v>0</v>
      </c>
      <c r="C60" s="58">
        <f t="shared" si="67"/>
        <v>0</v>
      </c>
      <c r="D60" s="58">
        <f t="shared" si="67"/>
        <v>60000000</v>
      </c>
      <c r="E60" s="58">
        <f t="shared" si="67"/>
        <v>0</v>
      </c>
      <c r="F60" s="58">
        <f t="shared" si="67"/>
        <v>0</v>
      </c>
      <c r="G60" s="58">
        <f t="shared" si="67"/>
        <v>0</v>
      </c>
      <c r="H60" s="59">
        <f t="shared" si="67"/>
        <v>0</v>
      </c>
      <c r="I60" s="57">
        <f t="shared" si="67"/>
        <v>47400000</v>
      </c>
      <c r="J60" s="58">
        <f t="shared" si="67"/>
        <v>0</v>
      </c>
      <c r="K60" s="58">
        <f t="shared" si="67"/>
        <v>0</v>
      </c>
      <c r="L60" s="58">
        <f t="shared" si="67"/>
        <v>0</v>
      </c>
      <c r="M60" s="58">
        <f t="shared" si="67"/>
        <v>0</v>
      </c>
      <c r="N60" s="58">
        <f t="shared" si="67"/>
        <v>0</v>
      </c>
      <c r="O60" s="59">
        <f t="shared" si="67"/>
        <v>0</v>
      </c>
      <c r="P60" s="57">
        <f t="shared" si="67"/>
        <v>0</v>
      </c>
      <c r="Q60" s="58">
        <f t="shared" si="67"/>
        <v>0</v>
      </c>
      <c r="R60" s="58">
        <f t="shared" si="67"/>
        <v>0</v>
      </c>
      <c r="S60" s="58">
        <f t="shared" si="67"/>
        <v>0</v>
      </c>
      <c r="T60" s="58">
        <f t="shared" si="67"/>
        <v>0</v>
      </c>
      <c r="U60" s="58">
        <f t="shared" si="67"/>
        <v>0</v>
      </c>
      <c r="V60" s="59">
        <f t="shared" si="67"/>
        <v>0</v>
      </c>
    </row>
    <row r="61" spans="1:22" ht="17.25" thickBot="1" x14ac:dyDescent="0.65">
      <c r="A61" s="54" t="s">
        <v>22</v>
      </c>
      <c r="B61" s="60">
        <f>B22*50</f>
        <v>0</v>
      </c>
      <c r="C61" s="61">
        <f>C22*50</f>
        <v>0</v>
      </c>
      <c r="D61" s="61">
        <f>D22*50</f>
        <v>0</v>
      </c>
      <c r="E61" s="61">
        <f>E22*50</f>
        <v>0</v>
      </c>
      <c r="F61" s="61">
        <f t="shared" ref="F61:V61" si="68">F22*50</f>
        <v>0</v>
      </c>
      <c r="G61" s="61">
        <f t="shared" si="68"/>
        <v>0</v>
      </c>
      <c r="H61" s="62">
        <f t="shared" si="68"/>
        <v>0</v>
      </c>
      <c r="I61" s="60">
        <f t="shared" si="68"/>
        <v>0</v>
      </c>
      <c r="J61" s="61">
        <f t="shared" si="68"/>
        <v>0</v>
      </c>
      <c r="K61" s="61">
        <f t="shared" si="68"/>
        <v>0</v>
      </c>
      <c r="L61" s="61">
        <f t="shared" si="68"/>
        <v>0</v>
      </c>
      <c r="M61" s="61">
        <f t="shared" si="68"/>
        <v>0</v>
      </c>
      <c r="N61" s="61">
        <f t="shared" si="68"/>
        <v>0</v>
      </c>
      <c r="O61" s="62">
        <f t="shared" si="68"/>
        <v>0</v>
      </c>
      <c r="P61" s="60">
        <f t="shared" si="68"/>
        <v>0</v>
      </c>
      <c r="Q61" s="61">
        <f t="shared" si="68"/>
        <v>0</v>
      </c>
      <c r="R61" s="61">
        <f t="shared" si="68"/>
        <v>0</v>
      </c>
      <c r="S61" s="61">
        <f t="shared" si="68"/>
        <v>0</v>
      </c>
      <c r="T61" s="61">
        <f t="shared" si="68"/>
        <v>0</v>
      </c>
      <c r="U61" s="61">
        <f t="shared" si="68"/>
        <v>0</v>
      </c>
      <c r="V61" s="62">
        <f t="shared" si="68"/>
        <v>0</v>
      </c>
    </row>
    <row r="62" spans="1:22" ht="17.25" thickBot="1" x14ac:dyDescent="0.65">
      <c r="A62" s="50" t="s">
        <v>4</v>
      </c>
      <c r="B62" s="33">
        <f>B63+B64</f>
        <v>0</v>
      </c>
      <c r="C62" s="34">
        <f t="shared" ref="C62:V62" si="69">C63+C64</f>
        <v>0</v>
      </c>
      <c r="D62" s="34">
        <f t="shared" si="69"/>
        <v>0</v>
      </c>
      <c r="E62" s="34">
        <f t="shared" si="69"/>
        <v>0</v>
      </c>
      <c r="F62" s="34">
        <f t="shared" si="69"/>
        <v>0</v>
      </c>
      <c r="G62" s="34">
        <f t="shared" si="69"/>
        <v>17900000</v>
      </c>
      <c r="H62" s="35">
        <f t="shared" si="69"/>
        <v>0</v>
      </c>
      <c r="I62" s="33">
        <f t="shared" si="69"/>
        <v>0</v>
      </c>
      <c r="J62" s="34">
        <f t="shared" si="69"/>
        <v>0</v>
      </c>
      <c r="K62" s="34">
        <f t="shared" si="69"/>
        <v>0</v>
      </c>
      <c r="L62" s="34">
        <f t="shared" si="69"/>
        <v>0</v>
      </c>
      <c r="M62" s="34">
        <f t="shared" si="69"/>
        <v>0</v>
      </c>
      <c r="N62" s="34">
        <f t="shared" si="69"/>
        <v>0</v>
      </c>
      <c r="O62" s="35">
        <f t="shared" si="69"/>
        <v>0</v>
      </c>
      <c r="P62" s="33">
        <f t="shared" si="69"/>
        <v>0</v>
      </c>
      <c r="Q62" s="34">
        <f t="shared" si="69"/>
        <v>0</v>
      </c>
      <c r="R62" s="34">
        <f t="shared" si="69"/>
        <v>0</v>
      </c>
      <c r="S62" s="34">
        <f t="shared" si="69"/>
        <v>0</v>
      </c>
      <c r="T62" s="34">
        <f t="shared" si="69"/>
        <v>0</v>
      </c>
      <c r="U62" s="34">
        <f t="shared" si="69"/>
        <v>0</v>
      </c>
      <c r="V62" s="35">
        <f t="shared" si="69"/>
        <v>0</v>
      </c>
    </row>
    <row r="63" spans="1:22" x14ac:dyDescent="0.6">
      <c r="A63" s="77" t="s">
        <v>9</v>
      </c>
      <c r="B63" s="79">
        <f>IF(B28&gt;0, 2000000, 0)</f>
        <v>0</v>
      </c>
      <c r="C63" s="80">
        <f>IF(C28&gt;0, 2000000, 0)</f>
        <v>0</v>
      </c>
      <c r="D63" s="80">
        <f t="shared" ref="D63:V63" si="70">IF(D28&gt;0, 2000000, 0)</f>
        <v>0</v>
      </c>
      <c r="E63" s="80">
        <f t="shared" si="70"/>
        <v>0</v>
      </c>
      <c r="F63" s="80">
        <f t="shared" si="70"/>
        <v>0</v>
      </c>
      <c r="G63" s="80">
        <f>IF(G28&gt;0, 2000000, 0)</f>
        <v>2000000</v>
      </c>
      <c r="H63" s="81">
        <f t="shared" si="70"/>
        <v>0</v>
      </c>
      <c r="I63" s="79">
        <f t="shared" si="70"/>
        <v>0</v>
      </c>
      <c r="J63" s="80">
        <f t="shared" si="70"/>
        <v>0</v>
      </c>
      <c r="K63" s="80">
        <f t="shared" si="70"/>
        <v>0</v>
      </c>
      <c r="L63" s="80">
        <f t="shared" si="70"/>
        <v>0</v>
      </c>
      <c r="M63" s="80">
        <f t="shared" si="70"/>
        <v>0</v>
      </c>
      <c r="N63" s="80">
        <f t="shared" si="70"/>
        <v>0</v>
      </c>
      <c r="O63" s="81">
        <f t="shared" si="70"/>
        <v>0</v>
      </c>
      <c r="P63" s="79">
        <f t="shared" si="70"/>
        <v>0</v>
      </c>
      <c r="Q63" s="80">
        <f t="shared" si="70"/>
        <v>0</v>
      </c>
      <c r="R63" s="80">
        <f t="shared" si="70"/>
        <v>0</v>
      </c>
      <c r="S63" s="80">
        <f t="shared" si="70"/>
        <v>0</v>
      </c>
      <c r="T63" s="80">
        <f t="shared" si="70"/>
        <v>0</v>
      </c>
      <c r="U63" s="80">
        <f t="shared" si="70"/>
        <v>0</v>
      </c>
      <c r="V63" s="81">
        <f t="shared" si="70"/>
        <v>0</v>
      </c>
    </row>
    <row r="64" spans="1:22" ht="17.25" thickBot="1" x14ac:dyDescent="0.65">
      <c r="A64" s="78" t="s">
        <v>10</v>
      </c>
      <c r="B64" s="82">
        <f>B28*50</f>
        <v>0</v>
      </c>
      <c r="C64" s="83">
        <f t="shared" ref="C64:V64" si="71">C28*50</f>
        <v>0</v>
      </c>
      <c r="D64" s="83">
        <f t="shared" si="71"/>
        <v>0</v>
      </c>
      <c r="E64" s="83">
        <f t="shared" si="71"/>
        <v>0</v>
      </c>
      <c r="F64" s="83">
        <f t="shared" si="71"/>
        <v>0</v>
      </c>
      <c r="G64" s="83">
        <f>G28*50</f>
        <v>15900000</v>
      </c>
      <c r="H64" s="84">
        <f t="shared" si="71"/>
        <v>0</v>
      </c>
      <c r="I64" s="82">
        <f t="shared" si="71"/>
        <v>0</v>
      </c>
      <c r="J64" s="83">
        <f t="shared" si="71"/>
        <v>0</v>
      </c>
      <c r="K64" s="83">
        <f t="shared" si="71"/>
        <v>0</v>
      </c>
      <c r="L64" s="83">
        <f t="shared" si="71"/>
        <v>0</v>
      </c>
      <c r="M64" s="83">
        <f t="shared" si="71"/>
        <v>0</v>
      </c>
      <c r="N64" s="83">
        <f t="shared" si="71"/>
        <v>0</v>
      </c>
      <c r="O64" s="84">
        <f t="shared" si="71"/>
        <v>0</v>
      </c>
      <c r="P64" s="82">
        <f t="shared" si="71"/>
        <v>0</v>
      </c>
      <c r="Q64" s="83">
        <f t="shared" si="71"/>
        <v>0</v>
      </c>
      <c r="R64" s="83">
        <f t="shared" si="71"/>
        <v>0</v>
      </c>
      <c r="S64" s="83">
        <f t="shared" si="71"/>
        <v>0</v>
      </c>
      <c r="T64" s="83">
        <f t="shared" si="71"/>
        <v>0</v>
      </c>
      <c r="U64" s="83">
        <f t="shared" si="71"/>
        <v>0</v>
      </c>
      <c r="V64" s="84">
        <f t="shared" si="71"/>
        <v>0</v>
      </c>
    </row>
    <row r="65" spans="1:22" ht="17.25" thickBot="1" x14ac:dyDescent="0.65"/>
    <row r="66" spans="1:22" ht="17.25" thickBot="1" x14ac:dyDescent="0.65">
      <c r="B66" s="88" t="s">
        <v>18</v>
      </c>
      <c r="C66" s="87"/>
    </row>
    <row r="67" spans="1:22" ht="17.25" thickBot="1" x14ac:dyDescent="0.65">
      <c r="A67" s="50" t="s">
        <v>0</v>
      </c>
      <c r="B67" s="49">
        <f>SUM(B68:B70)</f>
        <v>0</v>
      </c>
      <c r="C67" s="63">
        <f t="shared" ref="C67:V67" si="72">SUM(C68:C70)</f>
        <v>0</v>
      </c>
      <c r="D67" s="63">
        <f t="shared" si="72"/>
        <v>26800000</v>
      </c>
      <c r="E67" s="63">
        <f t="shared" si="72"/>
        <v>28600000</v>
      </c>
      <c r="F67" s="63">
        <f t="shared" si="72"/>
        <v>27800000</v>
      </c>
      <c r="G67" s="63">
        <f t="shared" si="72"/>
        <v>0</v>
      </c>
      <c r="H67" s="64">
        <f t="shared" si="72"/>
        <v>0</v>
      </c>
      <c r="I67" s="49">
        <f t="shared" si="72"/>
        <v>0</v>
      </c>
      <c r="J67" s="63">
        <f t="shared" si="72"/>
        <v>0</v>
      </c>
      <c r="K67" s="63">
        <f t="shared" si="72"/>
        <v>0</v>
      </c>
      <c r="L67" s="63">
        <f t="shared" si="72"/>
        <v>0</v>
      </c>
      <c r="M67" s="63">
        <f t="shared" si="72"/>
        <v>0</v>
      </c>
      <c r="N67" s="63">
        <f t="shared" si="72"/>
        <v>0</v>
      </c>
      <c r="O67" s="64">
        <f t="shared" si="72"/>
        <v>0</v>
      </c>
      <c r="P67" s="49">
        <f t="shared" si="72"/>
        <v>0</v>
      </c>
      <c r="Q67" s="63">
        <f t="shared" si="72"/>
        <v>0</v>
      </c>
      <c r="R67" s="63">
        <f t="shared" si="72"/>
        <v>0</v>
      </c>
      <c r="S67" s="63">
        <f t="shared" si="72"/>
        <v>0</v>
      </c>
      <c r="T67" s="63">
        <f t="shared" si="72"/>
        <v>0</v>
      </c>
      <c r="U67" s="63">
        <f t="shared" si="72"/>
        <v>0</v>
      </c>
      <c r="V67" s="64">
        <f t="shared" si="72"/>
        <v>0</v>
      </c>
    </row>
    <row r="68" spans="1:22" x14ac:dyDescent="0.6">
      <c r="A68" s="53" t="s">
        <v>6</v>
      </c>
      <c r="B68" s="57">
        <f t="shared" ref="B68:V68" si="73">IF(B9&gt;0, 5000000, 0)</f>
        <v>0</v>
      </c>
      <c r="C68" s="58">
        <f t="shared" si="73"/>
        <v>0</v>
      </c>
      <c r="D68" s="58">
        <f>IF(D9&gt;0, 5000000, 0)</f>
        <v>5000000</v>
      </c>
      <c r="E68" s="58">
        <f t="shared" si="73"/>
        <v>5000000</v>
      </c>
      <c r="F68" s="58">
        <f t="shared" si="73"/>
        <v>5000000</v>
      </c>
      <c r="G68" s="58">
        <f t="shared" si="73"/>
        <v>0</v>
      </c>
      <c r="H68" s="59">
        <f t="shared" si="73"/>
        <v>0</v>
      </c>
      <c r="I68" s="57">
        <f t="shared" si="73"/>
        <v>0</v>
      </c>
      <c r="J68" s="58">
        <f t="shared" si="73"/>
        <v>0</v>
      </c>
      <c r="K68" s="58">
        <f t="shared" si="73"/>
        <v>0</v>
      </c>
      <c r="L68" s="58">
        <f t="shared" si="73"/>
        <v>0</v>
      </c>
      <c r="M68" s="58">
        <f t="shared" si="73"/>
        <v>0</v>
      </c>
      <c r="N68" s="58">
        <f t="shared" si="73"/>
        <v>0</v>
      </c>
      <c r="O68" s="59">
        <f t="shared" si="73"/>
        <v>0</v>
      </c>
      <c r="P68" s="57">
        <f t="shared" si="73"/>
        <v>0</v>
      </c>
      <c r="Q68" s="58">
        <f t="shared" si="73"/>
        <v>0</v>
      </c>
      <c r="R68" s="58">
        <f t="shared" si="73"/>
        <v>0</v>
      </c>
      <c r="S68" s="58">
        <f t="shared" si="73"/>
        <v>0</v>
      </c>
      <c r="T68" s="58">
        <f t="shared" si="73"/>
        <v>0</v>
      </c>
      <c r="U68" s="58">
        <f t="shared" si="73"/>
        <v>0</v>
      </c>
      <c r="V68" s="59">
        <f t="shared" si="73"/>
        <v>0</v>
      </c>
    </row>
    <row r="69" spans="1:22" x14ac:dyDescent="0.6">
      <c r="A69" s="53" t="s">
        <v>7</v>
      </c>
      <c r="B69" s="57">
        <f t="shared" ref="B69:V69" si="74">QUOTIENT(B9,100) * 100000</f>
        <v>0</v>
      </c>
      <c r="C69" s="58">
        <f t="shared" si="74"/>
        <v>0</v>
      </c>
      <c r="D69" s="58">
        <f t="shared" si="74"/>
        <v>14400000</v>
      </c>
      <c r="E69" s="58">
        <f t="shared" si="74"/>
        <v>15300000</v>
      </c>
      <c r="F69" s="58">
        <f t="shared" si="74"/>
        <v>14900000</v>
      </c>
      <c r="G69" s="58">
        <f t="shared" si="74"/>
        <v>0</v>
      </c>
      <c r="H69" s="59">
        <f t="shared" si="74"/>
        <v>0</v>
      </c>
      <c r="I69" s="57">
        <f t="shared" si="74"/>
        <v>0</v>
      </c>
      <c r="J69" s="58">
        <f t="shared" si="74"/>
        <v>0</v>
      </c>
      <c r="K69" s="58">
        <f t="shared" si="74"/>
        <v>0</v>
      </c>
      <c r="L69" s="58">
        <f t="shared" si="74"/>
        <v>0</v>
      </c>
      <c r="M69" s="58">
        <f t="shared" si="74"/>
        <v>0</v>
      </c>
      <c r="N69" s="58">
        <f t="shared" si="74"/>
        <v>0</v>
      </c>
      <c r="O69" s="59">
        <f t="shared" si="74"/>
        <v>0</v>
      </c>
      <c r="P69" s="57">
        <f t="shared" si="74"/>
        <v>0</v>
      </c>
      <c r="Q69" s="58">
        <f t="shared" si="74"/>
        <v>0</v>
      </c>
      <c r="R69" s="58">
        <f t="shared" si="74"/>
        <v>0</v>
      </c>
      <c r="S69" s="58">
        <f t="shared" si="74"/>
        <v>0</v>
      </c>
      <c r="T69" s="58">
        <f t="shared" si="74"/>
        <v>0</v>
      </c>
      <c r="U69" s="58">
        <f t="shared" si="74"/>
        <v>0</v>
      </c>
      <c r="V69" s="59">
        <f t="shared" si="74"/>
        <v>0</v>
      </c>
    </row>
    <row r="70" spans="1:22" ht="17.25" thickBot="1" x14ac:dyDescent="0.65">
      <c r="A70" s="54" t="s">
        <v>8</v>
      </c>
      <c r="B70" s="60">
        <f t="shared" ref="B70:V70" si="75">MAX(0, QUOTIENT(B9-7000,100)) * 100000</f>
        <v>0</v>
      </c>
      <c r="C70" s="61">
        <f t="shared" si="75"/>
        <v>0</v>
      </c>
      <c r="D70" s="61">
        <f t="shared" si="75"/>
        <v>7400000</v>
      </c>
      <c r="E70" s="61">
        <f t="shared" si="75"/>
        <v>8300000</v>
      </c>
      <c r="F70" s="61">
        <f t="shared" si="75"/>
        <v>7900000</v>
      </c>
      <c r="G70" s="61">
        <f t="shared" si="75"/>
        <v>0</v>
      </c>
      <c r="H70" s="62">
        <f t="shared" si="75"/>
        <v>0</v>
      </c>
      <c r="I70" s="60">
        <f t="shared" si="75"/>
        <v>0</v>
      </c>
      <c r="J70" s="61">
        <f t="shared" si="75"/>
        <v>0</v>
      </c>
      <c r="K70" s="61">
        <f t="shared" si="75"/>
        <v>0</v>
      </c>
      <c r="L70" s="61">
        <f t="shared" si="75"/>
        <v>0</v>
      </c>
      <c r="M70" s="61">
        <f t="shared" si="75"/>
        <v>0</v>
      </c>
      <c r="N70" s="61">
        <f t="shared" si="75"/>
        <v>0</v>
      </c>
      <c r="O70" s="62">
        <f t="shared" si="75"/>
        <v>0</v>
      </c>
      <c r="P70" s="60">
        <f t="shared" si="75"/>
        <v>0</v>
      </c>
      <c r="Q70" s="61">
        <f t="shared" si="75"/>
        <v>0</v>
      </c>
      <c r="R70" s="61">
        <f t="shared" si="75"/>
        <v>0</v>
      </c>
      <c r="S70" s="61">
        <f t="shared" si="75"/>
        <v>0</v>
      </c>
      <c r="T70" s="61">
        <f t="shared" si="75"/>
        <v>0</v>
      </c>
      <c r="U70" s="61">
        <f t="shared" si="75"/>
        <v>0</v>
      </c>
      <c r="V70" s="62">
        <f t="shared" si="75"/>
        <v>0</v>
      </c>
    </row>
    <row r="71" spans="1:22" ht="17.25" thickBot="1" x14ac:dyDescent="0.65">
      <c r="A71" s="50" t="s">
        <v>1</v>
      </c>
      <c r="B71" s="49">
        <f>SUM(B72:B74)</f>
        <v>22600000</v>
      </c>
      <c r="C71" s="63">
        <f t="shared" ref="C71:V71" si="76">SUM(C72:C74)</f>
        <v>19400000</v>
      </c>
      <c r="D71" s="63">
        <f t="shared" si="76"/>
        <v>17400000</v>
      </c>
      <c r="E71" s="63">
        <f t="shared" si="76"/>
        <v>15800000</v>
      </c>
      <c r="F71" s="63">
        <f t="shared" si="76"/>
        <v>12000000</v>
      </c>
      <c r="G71" s="63">
        <f t="shared" si="76"/>
        <v>24000000</v>
      </c>
      <c r="H71" s="64">
        <f t="shared" si="76"/>
        <v>0</v>
      </c>
      <c r="I71" s="49">
        <f t="shared" si="76"/>
        <v>0</v>
      </c>
      <c r="J71" s="63">
        <f t="shared" si="76"/>
        <v>0</v>
      </c>
      <c r="K71" s="63">
        <f t="shared" si="76"/>
        <v>0</v>
      </c>
      <c r="L71" s="63">
        <f t="shared" si="76"/>
        <v>0</v>
      </c>
      <c r="M71" s="63">
        <f t="shared" si="76"/>
        <v>0</v>
      </c>
      <c r="N71" s="63">
        <f t="shared" si="76"/>
        <v>0</v>
      </c>
      <c r="O71" s="64">
        <f t="shared" si="76"/>
        <v>0</v>
      </c>
      <c r="P71" s="49">
        <f t="shared" si="76"/>
        <v>0</v>
      </c>
      <c r="Q71" s="63">
        <f t="shared" si="76"/>
        <v>0</v>
      </c>
      <c r="R71" s="63">
        <f t="shared" si="76"/>
        <v>0</v>
      </c>
      <c r="S71" s="63">
        <f t="shared" si="76"/>
        <v>0</v>
      </c>
      <c r="T71" s="63">
        <f t="shared" si="76"/>
        <v>0</v>
      </c>
      <c r="U71" s="63">
        <f t="shared" si="76"/>
        <v>0</v>
      </c>
      <c r="V71" s="64">
        <f t="shared" si="76"/>
        <v>0</v>
      </c>
    </row>
    <row r="72" spans="1:22" x14ac:dyDescent="0.6">
      <c r="A72" s="53" t="s">
        <v>6</v>
      </c>
      <c r="B72" s="57">
        <f t="shared" ref="B72:V72" si="77">IF(B10&gt;0, 4000000, 0)</f>
        <v>4000000</v>
      </c>
      <c r="C72" s="58">
        <f t="shared" si="77"/>
        <v>4000000</v>
      </c>
      <c r="D72" s="58">
        <f>IF(D10&gt;0, 4000000, 0)</f>
        <v>4000000</v>
      </c>
      <c r="E72" s="58">
        <f t="shared" si="77"/>
        <v>4000000</v>
      </c>
      <c r="F72" s="58">
        <f t="shared" si="77"/>
        <v>4000000</v>
      </c>
      <c r="G72" s="58">
        <f t="shared" si="77"/>
        <v>4000000</v>
      </c>
      <c r="H72" s="59">
        <f t="shared" si="77"/>
        <v>0</v>
      </c>
      <c r="I72" s="57">
        <f t="shared" si="77"/>
        <v>0</v>
      </c>
      <c r="J72" s="58">
        <f t="shared" si="77"/>
        <v>0</v>
      </c>
      <c r="K72" s="58">
        <f t="shared" si="77"/>
        <v>0</v>
      </c>
      <c r="L72" s="58">
        <f t="shared" si="77"/>
        <v>0</v>
      </c>
      <c r="M72" s="58">
        <f t="shared" si="77"/>
        <v>0</v>
      </c>
      <c r="N72" s="58">
        <f t="shared" si="77"/>
        <v>0</v>
      </c>
      <c r="O72" s="59">
        <f t="shared" si="77"/>
        <v>0</v>
      </c>
      <c r="P72" s="57">
        <f t="shared" si="77"/>
        <v>0</v>
      </c>
      <c r="Q72" s="58">
        <f t="shared" si="77"/>
        <v>0</v>
      </c>
      <c r="R72" s="58">
        <f t="shared" si="77"/>
        <v>0</v>
      </c>
      <c r="S72" s="58">
        <f t="shared" si="77"/>
        <v>0</v>
      </c>
      <c r="T72" s="58">
        <f t="shared" si="77"/>
        <v>0</v>
      </c>
      <c r="U72" s="58">
        <f t="shared" si="77"/>
        <v>0</v>
      </c>
      <c r="V72" s="59">
        <f t="shared" si="77"/>
        <v>0</v>
      </c>
    </row>
    <row r="73" spans="1:22" x14ac:dyDescent="0.6">
      <c r="A73" s="53" t="s">
        <v>7</v>
      </c>
      <c r="B73" s="57">
        <f t="shared" ref="B73:V73" si="78">QUOTIENT(B10,100) * 100000</f>
        <v>12800000</v>
      </c>
      <c r="C73" s="58">
        <f t="shared" si="78"/>
        <v>11200000</v>
      </c>
      <c r="D73" s="58">
        <f t="shared" si="78"/>
        <v>10200000</v>
      </c>
      <c r="E73" s="58">
        <f t="shared" si="78"/>
        <v>9400000</v>
      </c>
      <c r="F73" s="58">
        <f t="shared" si="78"/>
        <v>7500000</v>
      </c>
      <c r="G73" s="58">
        <f t="shared" si="78"/>
        <v>13500000</v>
      </c>
      <c r="H73" s="59">
        <f t="shared" si="78"/>
        <v>0</v>
      </c>
      <c r="I73" s="57">
        <f t="shared" si="78"/>
        <v>0</v>
      </c>
      <c r="J73" s="58">
        <f t="shared" si="78"/>
        <v>0</v>
      </c>
      <c r="K73" s="58">
        <f t="shared" si="78"/>
        <v>0</v>
      </c>
      <c r="L73" s="58">
        <f t="shared" si="78"/>
        <v>0</v>
      </c>
      <c r="M73" s="58">
        <f t="shared" si="78"/>
        <v>0</v>
      </c>
      <c r="N73" s="58">
        <f t="shared" si="78"/>
        <v>0</v>
      </c>
      <c r="O73" s="59">
        <f t="shared" si="78"/>
        <v>0</v>
      </c>
      <c r="P73" s="57">
        <f t="shared" si="78"/>
        <v>0</v>
      </c>
      <c r="Q73" s="58">
        <f t="shared" si="78"/>
        <v>0</v>
      </c>
      <c r="R73" s="58">
        <f t="shared" si="78"/>
        <v>0</v>
      </c>
      <c r="S73" s="58">
        <f t="shared" si="78"/>
        <v>0</v>
      </c>
      <c r="T73" s="58">
        <f t="shared" si="78"/>
        <v>0</v>
      </c>
      <c r="U73" s="58">
        <f t="shared" si="78"/>
        <v>0</v>
      </c>
      <c r="V73" s="59">
        <f t="shared" si="78"/>
        <v>0</v>
      </c>
    </row>
    <row r="74" spans="1:22" ht="17.25" thickBot="1" x14ac:dyDescent="0.65">
      <c r="A74" s="54" t="s">
        <v>8</v>
      </c>
      <c r="B74" s="60">
        <f t="shared" ref="B74:V74" si="79">MAX(0, QUOTIENT(B10-7000,100)) * 100000</f>
        <v>5800000</v>
      </c>
      <c r="C74" s="61">
        <f t="shared" si="79"/>
        <v>4200000</v>
      </c>
      <c r="D74" s="61">
        <f t="shared" si="79"/>
        <v>3200000</v>
      </c>
      <c r="E74" s="61">
        <f t="shared" si="79"/>
        <v>2400000</v>
      </c>
      <c r="F74" s="61">
        <f t="shared" si="79"/>
        <v>500000</v>
      </c>
      <c r="G74" s="61">
        <f t="shared" si="79"/>
        <v>6500000</v>
      </c>
      <c r="H74" s="62">
        <f t="shared" si="79"/>
        <v>0</v>
      </c>
      <c r="I74" s="60">
        <f t="shared" si="79"/>
        <v>0</v>
      </c>
      <c r="J74" s="61">
        <f t="shared" si="79"/>
        <v>0</v>
      </c>
      <c r="K74" s="61">
        <f t="shared" si="79"/>
        <v>0</v>
      </c>
      <c r="L74" s="61">
        <f t="shared" si="79"/>
        <v>0</v>
      </c>
      <c r="M74" s="61">
        <f t="shared" si="79"/>
        <v>0</v>
      </c>
      <c r="N74" s="61">
        <f t="shared" si="79"/>
        <v>0</v>
      </c>
      <c r="O74" s="62">
        <f t="shared" si="79"/>
        <v>0</v>
      </c>
      <c r="P74" s="60">
        <f t="shared" si="79"/>
        <v>0</v>
      </c>
      <c r="Q74" s="61">
        <f t="shared" si="79"/>
        <v>0</v>
      </c>
      <c r="R74" s="61">
        <f t="shared" si="79"/>
        <v>0</v>
      </c>
      <c r="S74" s="61">
        <f t="shared" si="79"/>
        <v>0</v>
      </c>
      <c r="T74" s="61">
        <f t="shared" si="79"/>
        <v>0</v>
      </c>
      <c r="U74" s="61">
        <f t="shared" si="79"/>
        <v>0</v>
      </c>
      <c r="V74" s="62">
        <f t="shared" si="79"/>
        <v>0</v>
      </c>
    </row>
    <row r="76" spans="1:22" ht="17.25" thickBot="1" x14ac:dyDescent="0.65"/>
    <row r="77" spans="1:22" ht="17.25" thickBot="1" x14ac:dyDescent="0.65">
      <c r="A77" s="89" t="s">
        <v>23</v>
      </c>
      <c r="B77" s="90"/>
    </row>
    <row r="78" spans="1:22" ht="17.25" thickBot="1" x14ac:dyDescent="0.65"/>
    <row r="79" spans="1:22" x14ac:dyDescent="0.6">
      <c r="A79" s="50" t="s">
        <v>0</v>
      </c>
      <c r="B79" s="33">
        <f>250*B6</f>
        <v>0</v>
      </c>
      <c r="C79" s="34">
        <f t="shared" ref="C79:V79" si="80">250*C6</f>
        <v>0</v>
      </c>
      <c r="D79" s="34">
        <f t="shared" si="80"/>
        <v>68750000</v>
      </c>
      <c r="E79" s="34">
        <f t="shared" si="80"/>
        <v>68750000</v>
      </c>
      <c r="F79" s="34">
        <f t="shared" si="80"/>
        <v>68750000</v>
      </c>
      <c r="G79" s="34">
        <f t="shared" si="80"/>
        <v>0</v>
      </c>
      <c r="H79" s="35">
        <f t="shared" si="80"/>
        <v>0</v>
      </c>
      <c r="I79" s="33">
        <f t="shared" si="80"/>
        <v>0</v>
      </c>
      <c r="J79" s="34">
        <f t="shared" si="80"/>
        <v>0</v>
      </c>
      <c r="K79" s="34">
        <f t="shared" si="80"/>
        <v>0</v>
      </c>
      <c r="L79" s="34">
        <f t="shared" si="80"/>
        <v>0</v>
      </c>
      <c r="M79" s="34">
        <f t="shared" si="80"/>
        <v>0</v>
      </c>
      <c r="N79" s="34">
        <f t="shared" si="80"/>
        <v>0</v>
      </c>
      <c r="O79" s="35">
        <f t="shared" si="80"/>
        <v>0</v>
      </c>
      <c r="P79" s="33">
        <f t="shared" si="80"/>
        <v>0</v>
      </c>
      <c r="Q79" s="34">
        <f t="shared" si="80"/>
        <v>0</v>
      </c>
      <c r="R79" s="34">
        <f t="shared" si="80"/>
        <v>0</v>
      </c>
      <c r="S79" s="34">
        <f t="shared" si="80"/>
        <v>0</v>
      </c>
      <c r="T79" s="34">
        <f t="shared" si="80"/>
        <v>0</v>
      </c>
      <c r="U79" s="34">
        <f t="shared" si="80"/>
        <v>0</v>
      </c>
      <c r="V79" s="35">
        <f t="shared" si="80"/>
        <v>0</v>
      </c>
    </row>
    <row r="80" spans="1:22" ht="17.25" thickBot="1" x14ac:dyDescent="0.65">
      <c r="A80" s="52" t="s">
        <v>1</v>
      </c>
      <c r="B80" s="39">
        <f>350*B7</f>
        <v>30097550</v>
      </c>
      <c r="C80" s="40">
        <f t="shared" ref="C80:V80" si="81">350*C7</f>
        <v>30097550</v>
      </c>
      <c r="D80" s="40">
        <f t="shared" si="81"/>
        <v>30097550</v>
      </c>
      <c r="E80" s="40">
        <f t="shared" si="81"/>
        <v>30097550</v>
      </c>
      <c r="F80" s="40">
        <f t="shared" si="81"/>
        <v>30097550</v>
      </c>
      <c r="G80" s="40">
        <f t="shared" si="81"/>
        <v>30097550</v>
      </c>
      <c r="H80" s="41">
        <f t="shared" si="81"/>
        <v>30097550</v>
      </c>
      <c r="I80" s="39">
        <f t="shared" si="81"/>
        <v>0</v>
      </c>
      <c r="J80" s="40">
        <f t="shared" si="81"/>
        <v>0</v>
      </c>
      <c r="K80" s="40">
        <f t="shared" si="81"/>
        <v>0</v>
      </c>
      <c r="L80" s="40">
        <f t="shared" si="81"/>
        <v>0</v>
      </c>
      <c r="M80" s="40">
        <f t="shared" si="81"/>
        <v>0</v>
      </c>
      <c r="N80" s="40">
        <f t="shared" si="81"/>
        <v>0</v>
      </c>
      <c r="O80" s="41">
        <f t="shared" si="81"/>
        <v>0</v>
      </c>
      <c r="P80" s="39">
        <f t="shared" si="81"/>
        <v>0</v>
      </c>
      <c r="Q80" s="40">
        <f t="shared" si="81"/>
        <v>0</v>
      </c>
      <c r="R80" s="40">
        <f t="shared" si="81"/>
        <v>0</v>
      </c>
      <c r="S80" s="40">
        <f t="shared" si="81"/>
        <v>0</v>
      </c>
      <c r="T80" s="40">
        <f t="shared" si="81"/>
        <v>0</v>
      </c>
      <c r="U80" s="40">
        <f t="shared" si="81"/>
        <v>0</v>
      </c>
      <c r="V80" s="41">
        <f t="shared" si="81"/>
        <v>0</v>
      </c>
    </row>
  </sheetData>
  <mergeCells count="9">
    <mergeCell ref="B54:C54"/>
    <mergeCell ref="B66:C66"/>
    <mergeCell ref="A77:B77"/>
    <mergeCell ref="A34:B34"/>
    <mergeCell ref="A15:A19"/>
    <mergeCell ref="A27:A31"/>
    <mergeCell ref="B43:C43"/>
    <mergeCell ref="B36:C36"/>
    <mergeCell ref="B50:C5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시각화_ㅅㅂ_겁나_힘들었다......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호준 김</dc:creator>
  <cp:lastModifiedBy>호준 김</cp:lastModifiedBy>
  <dcterms:created xsi:type="dcterms:W3CDTF">2026-10-03T05:02:38Z</dcterms:created>
  <dcterms:modified xsi:type="dcterms:W3CDTF">2026-10-05T07:58:48Z</dcterms:modified>
</cp:coreProperties>
</file>